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5fbd307c2ed2ad10/Documents/"/>
    </mc:Choice>
  </mc:AlternateContent>
  <xr:revisionPtr revIDLastSave="0" documentId="8_{ABAD72E6-BF62-4B26-8AAA-685322B7AA14}" xr6:coauthVersionLast="47" xr6:coauthVersionMax="47" xr10:uidLastSave="{00000000-0000-0000-0000-000000000000}"/>
  <bookViews>
    <workbookView xWindow="-108" yWindow="-108" windowWidth="23256" windowHeight="13176" xr2:uid="{1303C169-94E2-499C-9744-58D6574CBDF5}"/>
  </bookViews>
  <sheets>
    <sheet name="Dashboard" sheetId="4" r:id="rId1"/>
    <sheet name="Zudio_Sales Analysis" sheetId="1" r:id="rId2"/>
    <sheet name="Pivot_Tables" sheetId="3" r:id="rId3"/>
  </sheets>
  <definedNames>
    <definedName name="Slicer_category">#N/A</definedName>
    <definedName name="Slicer_city">#N/A</definedName>
    <definedName name="Slicer_Months__order_date">#N/A</definedName>
  </definedNames>
  <calcPr calcId="0"/>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4" l="1"/>
  <c r="H5" i="4"/>
  <c r="E5" i="4"/>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sharedStrings.xml><?xml version="1.0" encoding="utf-8"?>
<sst xmlns="http://schemas.openxmlformats.org/spreadsheetml/2006/main" count="553" uniqueCount="56">
  <si>
    <t>order_id</t>
  </si>
  <si>
    <t>order_date</t>
  </si>
  <si>
    <t>customer_name</t>
  </si>
  <si>
    <t>gender</t>
  </si>
  <si>
    <t>city</t>
  </si>
  <si>
    <t>product_name</t>
  </si>
  <si>
    <t>category</t>
  </si>
  <si>
    <t>price</t>
  </si>
  <si>
    <t>quantity</t>
  </si>
  <si>
    <t>total_amount</t>
  </si>
  <si>
    <t>Aisha Khan</t>
  </si>
  <si>
    <t>Female</t>
  </si>
  <si>
    <t>Mumbai</t>
  </si>
  <si>
    <t>Men T-Shirt</t>
  </si>
  <si>
    <t>Men</t>
  </si>
  <si>
    <t>Priya Nair</t>
  </si>
  <si>
    <t>Bangalore</t>
  </si>
  <si>
    <t>Sneha Joshi</t>
  </si>
  <si>
    <t>Meera Iyer</t>
  </si>
  <si>
    <t>Chennai</t>
  </si>
  <si>
    <t>Neha Patel</t>
  </si>
  <si>
    <t>Ravi Sharma</t>
  </si>
  <si>
    <t>Male</t>
  </si>
  <si>
    <t>Delhi</t>
  </si>
  <si>
    <t>Men Jeans</t>
  </si>
  <si>
    <t>Amit Gupta</t>
  </si>
  <si>
    <t>Hyderabad</t>
  </si>
  <si>
    <t>Rahul Verma</t>
  </si>
  <si>
    <t>Karan Singh</t>
  </si>
  <si>
    <t>Pune</t>
  </si>
  <si>
    <t>Arjun Reddy</t>
  </si>
  <si>
    <t>Women Dress</t>
  </si>
  <si>
    <t>Women</t>
  </si>
  <si>
    <t>Women Top</t>
  </si>
  <si>
    <t>Kids T-Shirt</t>
  </si>
  <si>
    <t>Kids</t>
  </si>
  <si>
    <t>Kids Shorts</t>
  </si>
  <si>
    <t>Men Shirt</t>
  </si>
  <si>
    <t>Women Kurti</t>
  </si>
  <si>
    <t>Row Labels</t>
  </si>
  <si>
    <t>Grand Total</t>
  </si>
  <si>
    <t>Sum of total_amount</t>
  </si>
  <si>
    <t>Month</t>
  </si>
  <si>
    <t>Jan</t>
  </si>
  <si>
    <t>Feb</t>
  </si>
  <si>
    <t>Mar</t>
  </si>
  <si>
    <t>Apr</t>
  </si>
  <si>
    <t>May</t>
  </si>
  <si>
    <t>Jun</t>
  </si>
  <si>
    <t>Jul</t>
  </si>
  <si>
    <t>Aug</t>
  </si>
  <si>
    <t>Sep</t>
  </si>
  <si>
    <t>Oct</t>
  </si>
  <si>
    <t>Total_Revenue</t>
  </si>
  <si>
    <t>Total_Orders</t>
  </si>
  <si>
    <t>Avg_OrderValue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</si>
</sst>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8" fillId="33" borderId="0" xfId="0" applyFont="1" applyFill="1"/>
    <xf numFmtId="164" fontId="18" fillId="33" borderId="0" xfId="0" applyNumberFormat="1" applyFont="1" applyFill="1"/>
    <xf numFmtId="0" fontId="18" fillId="34" borderId="0" xfId="0" applyFont="1" applyFill="1"/>
    <xf numFmtId="0" fontId="18" fillId="35" borderId="0" xfId="0" applyFont="1" applyFill="1"/>
    <xf numFmtId="164" fontId="18" fillId="35"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164" formatCode="_ [$₹-4009]\ * #,##0.00_ ;_ [$₹-4009]\ * \-#,##0.00_ ;_ [$₹-4009]\ * &quot;-&quot;??_ ;_ @_ "/>
    </dxf>
    <dxf>
      <numFmt numFmtId="164" formatCode="_ [$₹-4009]\ * #,##0.00_ ;_ [$₹-4009]\ * \-#,##0.00_ ;_ [$₹-4009]\ * &quot;-&quot;??_ ;_ @_ "/>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 Analysis.xlsx]Pivot_Tables!PivotTable2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Pivot_Tables!$B$10</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Pivot_Tables!$A$11:$A$17</c:f>
              <c:strCache>
                <c:ptCount val="6"/>
                <c:pt idx="0">
                  <c:v>Bangalore</c:v>
                </c:pt>
                <c:pt idx="1">
                  <c:v>Chennai</c:v>
                </c:pt>
                <c:pt idx="2">
                  <c:v>Delhi</c:v>
                </c:pt>
                <c:pt idx="3">
                  <c:v>Hyderabad</c:v>
                </c:pt>
                <c:pt idx="4">
                  <c:v>Mumbai</c:v>
                </c:pt>
                <c:pt idx="5">
                  <c:v>Pune</c:v>
                </c:pt>
              </c:strCache>
            </c:strRef>
          </c:cat>
          <c:val>
            <c:numRef>
              <c:f>Pivot_Tables!$B$11:$B$17</c:f>
              <c:numCache>
                <c:formatCode>_ [$₹-4009]\ * #,##0.00_ ;_ [$₹-4009]\ * \-#,##0.00_ ;_ [$₹-4009]\ * "-"??_ ;_ @_ </c:formatCode>
                <c:ptCount val="6"/>
                <c:pt idx="0">
                  <c:v>37857</c:v>
                </c:pt>
                <c:pt idx="1">
                  <c:v>20174</c:v>
                </c:pt>
                <c:pt idx="2">
                  <c:v>31664</c:v>
                </c:pt>
                <c:pt idx="3">
                  <c:v>36453</c:v>
                </c:pt>
                <c:pt idx="4">
                  <c:v>41852</c:v>
                </c:pt>
                <c:pt idx="5">
                  <c:v>16379</c:v>
                </c:pt>
              </c:numCache>
            </c:numRef>
          </c:val>
          <c:extLst>
            <c:ext xmlns:c16="http://schemas.microsoft.com/office/drawing/2014/chart" uri="{C3380CC4-5D6E-409C-BE32-E72D297353CC}">
              <c16:uniqueId val="{00000000-00FF-4E64-B1AA-579E59AF180E}"/>
            </c:ext>
          </c:extLst>
        </c:ser>
        <c:dLbls>
          <c:dLblPos val="inEnd"/>
          <c:showLegendKey val="0"/>
          <c:showVal val="1"/>
          <c:showCatName val="0"/>
          <c:showSerName val="0"/>
          <c:showPercent val="0"/>
          <c:showBubbleSize val="0"/>
        </c:dLbls>
        <c:gapWidth val="65"/>
        <c:axId val="1395826351"/>
        <c:axId val="1395827311"/>
      </c:barChart>
      <c:catAx>
        <c:axId val="13958263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5827311"/>
        <c:crosses val="autoZero"/>
        <c:auto val="1"/>
        <c:lblAlgn val="ctr"/>
        <c:lblOffset val="100"/>
        <c:noMultiLvlLbl val="0"/>
      </c:catAx>
      <c:valAx>
        <c:axId val="13958273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958263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 Analysis.xlsx]Pivot_Tables!PivotTable1</c:name>
    <c:fmtId val="3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Category</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Pivot_Tables!$B$3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E4-4F3E-BD73-B37DA0A39EB2}"/>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E4-4F3E-BD73-B37DA0A39EB2}"/>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0E4-4F3E-BD73-B37DA0A39EB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Pivot_Tables!$A$4:$A$7</c:f>
              <c:strCache>
                <c:ptCount val="3"/>
                <c:pt idx="0">
                  <c:v>Kids</c:v>
                </c:pt>
                <c:pt idx="1">
                  <c:v>Men</c:v>
                </c:pt>
                <c:pt idx="2">
                  <c:v>Women</c:v>
                </c:pt>
              </c:strCache>
            </c:strRef>
          </c:cat>
          <c:val>
            <c:numRef>
              <c:f>Pivot_Tables!$B$4:$B$7</c:f>
              <c:numCache>
                <c:formatCode>_ [$₹-4009]\ * #,##0.00_ ;_ [$₹-4009]\ * \-#,##0.00_ ;_ [$₹-4009]\ * "-"??_ ;_ @_ </c:formatCode>
                <c:ptCount val="3"/>
                <c:pt idx="0">
                  <c:v>34723</c:v>
                </c:pt>
                <c:pt idx="1">
                  <c:v>88420</c:v>
                </c:pt>
                <c:pt idx="2">
                  <c:v>61236</c:v>
                </c:pt>
              </c:numCache>
            </c:numRef>
          </c:val>
          <c:extLst>
            <c:ext xmlns:c16="http://schemas.microsoft.com/office/drawing/2014/chart" uri="{C3380CC4-5D6E-409C-BE32-E72D297353CC}">
              <c16:uniqueId val="{00000006-40E4-4F3E-BD73-B37DA0A39EB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 Analysis.xlsx]Pivot_Tables!PivotTable3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c:f>
              <c:strCache>
                <c:ptCount val="1"/>
                <c:pt idx="0">
                  <c:v>Total</c:v>
                </c:pt>
              </c:strCache>
            </c:strRef>
          </c:tx>
          <c:spPr>
            <a:solidFill>
              <a:schemeClr val="accent2"/>
            </a:solidFill>
            <a:ln>
              <a:noFill/>
            </a:ln>
            <a:effectLst/>
          </c:spPr>
          <c:invertIfNegative val="0"/>
          <c:cat>
            <c:strRef>
              <c:f>Pivot_Tables!$D$4:$D$12</c:f>
              <c:strCache>
                <c:ptCount val="8"/>
                <c:pt idx="0">
                  <c:v>Kids Shorts</c:v>
                </c:pt>
                <c:pt idx="1">
                  <c:v>Kids T-Shirt</c:v>
                </c:pt>
                <c:pt idx="2">
                  <c:v>Men Jeans</c:v>
                </c:pt>
                <c:pt idx="3">
                  <c:v>Men Shirt</c:v>
                </c:pt>
                <c:pt idx="4">
                  <c:v>Men T-Shirt</c:v>
                </c:pt>
                <c:pt idx="5">
                  <c:v>Women Dress</c:v>
                </c:pt>
                <c:pt idx="6">
                  <c:v>Women Kurti</c:v>
                </c:pt>
                <c:pt idx="7">
                  <c:v>Women Top</c:v>
                </c:pt>
              </c:strCache>
            </c:strRef>
          </c:cat>
          <c:val>
            <c:numRef>
              <c:f>Pivot_Tables!$E$4:$E$12</c:f>
              <c:numCache>
                <c:formatCode>_ [$₹-4009]\ * #,##0.00_ ;_ [$₹-4009]\ * \-#,##0.00_ ;_ [$₹-4009]\ * "-"??_ ;_ @_ </c:formatCode>
                <c:ptCount val="8"/>
                <c:pt idx="0">
                  <c:v>14763</c:v>
                </c:pt>
                <c:pt idx="1">
                  <c:v>19960</c:v>
                </c:pt>
                <c:pt idx="2">
                  <c:v>34477</c:v>
                </c:pt>
                <c:pt idx="3">
                  <c:v>25179</c:v>
                </c:pt>
                <c:pt idx="4">
                  <c:v>28764</c:v>
                </c:pt>
                <c:pt idx="5">
                  <c:v>25980</c:v>
                </c:pt>
                <c:pt idx="6">
                  <c:v>14985</c:v>
                </c:pt>
                <c:pt idx="7">
                  <c:v>20271</c:v>
                </c:pt>
              </c:numCache>
            </c:numRef>
          </c:val>
          <c:extLst>
            <c:ext xmlns:c16="http://schemas.microsoft.com/office/drawing/2014/chart" uri="{C3380CC4-5D6E-409C-BE32-E72D297353CC}">
              <c16:uniqueId val="{00000000-8927-4C52-8E81-2F09A26B6D10}"/>
            </c:ext>
          </c:extLst>
        </c:ser>
        <c:dLbls>
          <c:showLegendKey val="0"/>
          <c:showVal val="0"/>
          <c:showCatName val="0"/>
          <c:showSerName val="0"/>
          <c:showPercent val="0"/>
          <c:showBubbleSize val="0"/>
        </c:dLbls>
        <c:gapWidth val="219"/>
        <c:overlap val="-27"/>
        <c:axId val="1324016239"/>
        <c:axId val="1324012879"/>
      </c:barChart>
      <c:catAx>
        <c:axId val="132401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012879"/>
        <c:crosses val="autoZero"/>
        <c:auto val="1"/>
        <c:lblAlgn val="ctr"/>
        <c:lblOffset val="100"/>
        <c:noMultiLvlLbl val="0"/>
      </c:catAx>
      <c:valAx>
        <c:axId val="1324012879"/>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01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 Analysis.xlsx]Pivot_Tables!PivotTable4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Pivot_Tables!$D$16:$D$26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Pivot_Tables!$E$16:$E$26</c:f>
              <c:numCache>
                <c:formatCode>_ [$₹-4009]\ * #,##0.00_ ;_ [$₹-4009]\ * \-#,##0.00_ ;_ [$₹-4009]\ * "-"??_ ;_ @_ </c:formatCode>
                <c:ptCount val="10"/>
                <c:pt idx="0">
                  <c:v>17479</c:v>
                </c:pt>
                <c:pt idx="1">
                  <c:v>18778</c:v>
                </c:pt>
                <c:pt idx="2">
                  <c:v>17476</c:v>
                </c:pt>
                <c:pt idx="3">
                  <c:v>18079</c:v>
                </c:pt>
                <c:pt idx="4">
                  <c:v>21377</c:v>
                </c:pt>
                <c:pt idx="5">
                  <c:v>17380</c:v>
                </c:pt>
                <c:pt idx="6">
                  <c:v>17176</c:v>
                </c:pt>
                <c:pt idx="7">
                  <c:v>18079</c:v>
                </c:pt>
                <c:pt idx="8">
                  <c:v>19777</c:v>
                </c:pt>
                <c:pt idx="9">
                  <c:v>18778</c:v>
                </c:pt>
              </c:numCache>
            </c:numRef>
          </c:val>
          <c:smooth val="0"/>
          <c:extLst>
            <c:ext xmlns:c16="http://schemas.microsoft.com/office/drawing/2014/chart" uri="{C3380CC4-5D6E-409C-BE32-E72D297353CC}">
              <c16:uniqueId val="{00000000-0FCD-44BF-B36C-CFAD6D46AE36}"/>
            </c:ext>
          </c:extLst>
        </c:ser>
        <c:dLbls>
          <c:showLegendKey val="0"/>
          <c:showVal val="0"/>
          <c:showCatName val="0"/>
          <c:showSerName val="0"/>
          <c:showPercent val="0"/>
          <c:showBubbleSize val="0"/>
        </c:dLbls>
        <c:marker val="1"/>
        <c:smooth val="0"/>
        <c:axId val="1519575455"/>
        <c:axId val="1519572095"/>
      </c:lineChart>
      <c:catAx>
        <c:axId val="151957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572095"/>
        <c:crosses val="autoZero"/>
        <c:auto val="1"/>
        <c:lblAlgn val="ctr"/>
        <c:lblOffset val="100"/>
        <c:noMultiLvlLbl val="0"/>
      </c:catAx>
      <c:valAx>
        <c:axId val="1519572095"/>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57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182880</xdr:colOff>
      <xdr:row>6</xdr:row>
      <xdr:rowOff>53340</xdr:rowOff>
    </xdr:from>
    <xdr:ext cx="184731" cy="264560"/>
    <xdr:sp macro="" textlink="">
      <xdr:nvSpPr>
        <xdr:cNvPr id="3" name="TextBox 2">
          <a:extLst>
            <a:ext uri="{FF2B5EF4-FFF2-40B4-BE49-F238E27FC236}">
              <a16:creationId xmlns:a16="http://schemas.microsoft.com/office/drawing/2014/main" id="{44E6CF3B-419B-FD62-298C-5A561AA03118}"/>
            </a:ext>
          </a:extLst>
        </xdr:cNvPr>
        <xdr:cNvSpPr txBox="1"/>
      </xdr:nvSpPr>
      <xdr:spPr>
        <a:xfrm>
          <a:off x="792480" y="784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411480</xdr:colOff>
      <xdr:row>0</xdr:row>
      <xdr:rowOff>30480</xdr:rowOff>
    </xdr:from>
    <xdr:ext cx="4772653" cy="405432"/>
    <xdr:sp macro="" textlink="">
      <xdr:nvSpPr>
        <xdr:cNvPr id="5" name="TextBox 4">
          <a:extLst>
            <a:ext uri="{FF2B5EF4-FFF2-40B4-BE49-F238E27FC236}">
              <a16:creationId xmlns:a16="http://schemas.microsoft.com/office/drawing/2014/main" id="{E7704AF1-4F55-C9A9-BC46-6195D56858C6}"/>
            </a:ext>
          </a:extLst>
        </xdr:cNvPr>
        <xdr:cNvSpPr txBox="1"/>
      </xdr:nvSpPr>
      <xdr:spPr>
        <a:xfrm>
          <a:off x="2705100" y="30480"/>
          <a:ext cx="477265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u="dbl"/>
            <a:t>Zudio Sales Performance Dashboard (2025)</a:t>
          </a:r>
        </a:p>
      </xdr:txBody>
    </xdr:sp>
    <xdr:clientData/>
  </xdr:oneCellAnchor>
  <xdr:twoCellAnchor>
    <xdr:from>
      <xdr:col>5</xdr:col>
      <xdr:colOff>7620</xdr:colOff>
      <xdr:row>8</xdr:row>
      <xdr:rowOff>7620</xdr:rowOff>
    </xdr:from>
    <xdr:to>
      <xdr:col>8</xdr:col>
      <xdr:colOff>1135380</xdr:colOff>
      <xdr:row>23</xdr:row>
      <xdr:rowOff>7620</xdr:rowOff>
    </xdr:to>
    <xdr:graphicFrame macro="">
      <xdr:nvGraphicFramePr>
        <xdr:cNvPr id="8" name="Chart 7">
          <a:extLst>
            <a:ext uri="{FF2B5EF4-FFF2-40B4-BE49-F238E27FC236}">
              <a16:creationId xmlns:a16="http://schemas.microsoft.com/office/drawing/2014/main" id="{425C53D1-9CF0-460A-8BAE-34DEA1A41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601980</xdr:colOff>
      <xdr:row>8</xdr:row>
      <xdr:rowOff>0</xdr:rowOff>
    </xdr:from>
    <xdr:to>
      <xdr:col>4</xdr:col>
      <xdr:colOff>1158240</xdr:colOff>
      <xdr:row>23</xdr:row>
      <xdr:rowOff>15240</xdr:rowOff>
    </xdr:to>
    <xdr:graphicFrame macro="">
      <xdr:nvGraphicFramePr>
        <xdr:cNvPr id="9" name="Chart 8">
          <a:extLst>
            <a:ext uri="{FF2B5EF4-FFF2-40B4-BE49-F238E27FC236}">
              <a16:creationId xmlns:a16="http://schemas.microsoft.com/office/drawing/2014/main" id="{C5D0EA67-CA45-421E-A278-8A0610D56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0</xdr:rowOff>
    </xdr:from>
    <xdr:to>
      <xdr:col>4</xdr:col>
      <xdr:colOff>1165860</xdr:colOff>
      <xdr:row>40</xdr:row>
      <xdr:rowOff>0</xdr:rowOff>
    </xdr:to>
    <xdr:graphicFrame macro="">
      <xdr:nvGraphicFramePr>
        <xdr:cNvPr id="10" name="Chart 9">
          <a:extLst>
            <a:ext uri="{FF2B5EF4-FFF2-40B4-BE49-F238E27FC236}">
              <a16:creationId xmlns:a16="http://schemas.microsoft.com/office/drawing/2014/main" id="{BF28AF64-195A-4B4D-8D9E-029979368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25</xdr:row>
      <xdr:rowOff>0</xdr:rowOff>
    </xdr:from>
    <xdr:to>
      <xdr:col>8</xdr:col>
      <xdr:colOff>1127760</xdr:colOff>
      <xdr:row>40</xdr:row>
      <xdr:rowOff>0</xdr:rowOff>
    </xdr:to>
    <xdr:graphicFrame macro="">
      <xdr:nvGraphicFramePr>
        <xdr:cNvPr id="11" name="Chart 10">
          <a:extLst>
            <a:ext uri="{FF2B5EF4-FFF2-40B4-BE49-F238E27FC236}">
              <a16:creationId xmlns:a16="http://schemas.microsoft.com/office/drawing/2014/main" id="{500C1B5B-A70C-4D15-98DC-119AB9C38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44</xdr:row>
      <xdr:rowOff>0</xdr:rowOff>
    </xdr:from>
    <xdr:to>
      <xdr:col>2</xdr:col>
      <xdr:colOff>144780</xdr:colOff>
      <xdr:row>57</xdr:row>
      <xdr:rowOff>89535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5733A6D2-A93D-45D4-A28F-AD62DE96956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9600" y="8214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548640</xdr:colOff>
      <xdr:row>44</xdr:row>
      <xdr:rowOff>0</xdr:rowOff>
    </xdr:from>
    <xdr:to>
      <xdr:col>4</xdr:col>
      <xdr:colOff>655320</xdr:colOff>
      <xdr:row>57</xdr:row>
      <xdr:rowOff>89535</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BAEE6A2D-80DD-4538-9B4A-2E2D8232D06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842260" y="8214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1036320</xdr:colOff>
      <xdr:row>43</xdr:row>
      <xdr:rowOff>175260</xdr:rowOff>
    </xdr:from>
    <xdr:to>
      <xdr:col>6</xdr:col>
      <xdr:colOff>579120</xdr:colOff>
      <xdr:row>57</xdr:row>
      <xdr:rowOff>81915</xdr:rowOff>
    </xdr:to>
    <mc:AlternateContent xmlns:mc="http://schemas.openxmlformats.org/markup-compatibility/2006">
      <mc:Choice xmlns:a14="http://schemas.microsoft.com/office/drawing/2010/main" Requires="a14">
        <xdr:graphicFrame macro="">
          <xdr:nvGraphicFramePr>
            <xdr:cNvPr id="14" name="Months (order_date)">
              <a:extLst>
                <a:ext uri="{FF2B5EF4-FFF2-40B4-BE49-F238E27FC236}">
                  <a16:creationId xmlns:a16="http://schemas.microsoft.com/office/drawing/2014/main" id="{605130ED-9090-4CC7-8B37-8A57E25EFA51}"/>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5052060" y="8206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prasad reddy" refreshedDate="46106.105435300924" createdVersion="8" refreshedVersion="8" minRefreshableVersion="3" recordCount="100" xr:uid="{B137ED2C-429D-4D22-A811-A79A0D476DE8}">
  <cacheSource type="worksheet">
    <worksheetSource name="zudio_data"/>
  </cacheSource>
  <cacheFields count="12">
    <cacheField name="order_id" numFmtId="0">
      <sharedItems containsSemiMixedTypes="0" containsString="0" containsNumber="1" containsInteger="1" minValue="1" maxValue="100"/>
    </cacheField>
    <cacheField name="order_date" numFmtId="14">
      <sharedItems containsSemiMixedTypes="0" containsNonDate="0" containsDate="1" containsString="0" minDate="2025-01-03T00:00:00" maxDate="2025-10-26T00:00:00" count="100">
        <d v="2025-01-03T00:00:00"/>
        <d v="2025-01-05T00:00:00"/>
        <d v="2025-01-07T00:00:00"/>
        <d v="2025-01-10T00:00:00"/>
        <d v="2025-01-12T00:00:00"/>
        <d v="2025-01-15T00:00:00"/>
        <d v="2025-01-18T00:00:00"/>
        <d v="2025-01-20T00:00:00"/>
        <d v="2025-01-22T00:00:00"/>
        <d v="2025-01-25T00:00:00"/>
        <d v="2025-02-02T00:00:00"/>
        <d v="2025-02-05T00:00:00"/>
        <d v="2025-02-08T00:00:00"/>
        <d v="2025-02-10T00:00:00"/>
        <d v="2025-02-14T00:00:00"/>
        <d v="2025-02-18T00:00:00"/>
        <d v="2025-02-20T00:00:00"/>
        <d v="2025-02-22T00:00:00"/>
        <d v="2025-02-25T00:00:00"/>
        <d v="2025-02-28T00:00:00"/>
        <d v="2025-03-02T00:00:00"/>
        <d v="2025-03-05T00:00:00"/>
        <d v="2025-03-08T00:00:00"/>
        <d v="2025-03-12T00:00:00"/>
        <d v="2025-03-15T00:00:00"/>
        <d v="2025-03-18T00:00:00"/>
        <d v="2025-03-20T00:00:00"/>
        <d v="2025-03-22T00:00:00"/>
        <d v="2025-03-25T00:00:00"/>
        <d v="2025-03-28T00:00:00"/>
        <d v="2025-04-02T00:00:00"/>
        <d v="2025-04-05T00:00:00"/>
        <d v="2025-04-07T00:00:00"/>
        <d v="2025-04-10T00:00:00"/>
        <d v="2025-04-12T00:00:00"/>
        <d v="2025-04-15T00:00:00"/>
        <d v="2025-04-18T00:00:00"/>
        <d v="2025-04-20T00:00:00"/>
        <d v="2025-04-22T00:00:00"/>
        <d v="2025-04-25T00:00:00"/>
        <d v="2025-05-02T00:00:00"/>
        <d v="2025-05-05T00:00:00"/>
        <d v="2025-05-07T00:00:00"/>
        <d v="2025-05-10T00:00:00"/>
        <d v="2025-05-12T00:00:00"/>
        <d v="2025-05-15T00:00:00"/>
        <d v="2025-05-18T00:00:00"/>
        <d v="2025-05-20T00:00:00"/>
        <d v="2025-05-22T00:00:00"/>
        <d v="2025-05-25T00:00:00"/>
        <d v="2025-06-02T00:00:00"/>
        <d v="2025-06-05T00:00:00"/>
        <d v="2025-06-08T00:00:00"/>
        <d v="2025-06-10T00:00:00"/>
        <d v="2025-06-12T00:00:00"/>
        <d v="2025-06-15T00:00:00"/>
        <d v="2025-06-18T00:00:00"/>
        <d v="2025-06-20T00:00:00"/>
        <d v="2025-06-22T00:00:00"/>
        <d v="2025-06-25T00:00:00"/>
        <d v="2025-07-02T00:00:00"/>
        <d v="2025-07-05T00:00:00"/>
        <d v="2025-07-08T00:00:00"/>
        <d v="2025-07-10T00:00:00"/>
        <d v="2025-07-12T00:00:00"/>
        <d v="2025-07-15T00:00:00"/>
        <d v="2025-07-18T00:00:00"/>
        <d v="2025-07-20T00:00:00"/>
        <d v="2025-07-22T00:00:00"/>
        <d v="2025-07-25T00:00:00"/>
        <d v="2025-08-02T00:00:00"/>
        <d v="2025-08-05T00:00:00"/>
        <d v="2025-08-08T00:00:00"/>
        <d v="2025-08-10T00:00:00"/>
        <d v="2025-08-12T00:00:00"/>
        <d v="2025-08-15T00:00:00"/>
        <d v="2025-08-18T00:00:00"/>
        <d v="2025-08-20T00:00:00"/>
        <d v="2025-08-22T00:00:00"/>
        <d v="2025-08-25T00:00:00"/>
        <d v="2025-09-02T00:00:00"/>
        <d v="2025-09-05T00:00:00"/>
        <d v="2025-09-08T00:00:00"/>
        <d v="2025-09-10T00:00:00"/>
        <d v="2025-09-12T00:00:00"/>
        <d v="2025-09-15T00:00:00"/>
        <d v="2025-09-18T00:00:00"/>
        <d v="2025-09-20T00:00:00"/>
        <d v="2025-09-22T00:00:00"/>
        <d v="2025-09-25T00:00:00"/>
        <d v="2025-10-02T00:00:00"/>
        <d v="2025-10-05T00:00:00"/>
        <d v="2025-10-08T00:00:00"/>
        <d v="2025-10-10T00:00:00"/>
        <d v="2025-10-12T00:00:00"/>
        <d v="2025-10-15T00:00:00"/>
        <d v="2025-10-18T00:00:00"/>
        <d v="2025-10-20T00:00:00"/>
        <d v="2025-10-22T00:00:00"/>
        <d v="2025-10-25T00:00:00"/>
      </sharedItems>
      <fieldGroup par="11"/>
    </cacheField>
    <cacheField name="customer_name" numFmtId="0">
      <sharedItems/>
    </cacheField>
    <cacheField name="gender" numFmtId="0">
      <sharedItems/>
    </cacheField>
    <cacheField name="city" numFmtId="0">
      <sharedItems count="6">
        <s v="Mumbai"/>
        <s v="Delhi"/>
        <s v="Bangalore"/>
        <s v="Hyderabad"/>
        <s v="Chennai"/>
        <s v="Pune"/>
      </sharedItems>
    </cacheField>
    <cacheField name="product_name" numFmtId="0">
      <sharedItems count="8">
        <s v="Men T-Shirt"/>
        <s v="Men Jeans"/>
        <s v="Women Dress"/>
        <s v="Women Top"/>
        <s v="Kids T-Shirt"/>
        <s v="Kids Shorts"/>
        <s v="Men Shirt"/>
        <s v="Women Kurti"/>
      </sharedItems>
    </cacheField>
    <cacheField name="category" numFmtId="0">
      <sharedItems count="3">
        <s v="Men"/>
        <s v="Women"/>
        <s v="Kids"/>
      </sharedItems>
    </cacheField>
    <cacheField name="price" numFmtId="164">
      <sharedItems containsSemiMixedTypes="0" containsString="0" containsNumber="1" containsInteger="1" minValue="399" maxValue="1499"/>
    </cacheField>
    <cacheField name="quantity" numFmtId="0">
      <sharedItems containsSemiMixedTypes="0" containsString="0" containsNumber="1" containsInteger="1" minValue="1" maxValue="4"/>
    </cacheField>
    <cacheField name="total_amount" numFmtId="164">
      <sharedItems containsSemiMixedTypes="0" containsString="0" containsNumber="1" containsInteger="1" minValue="699" maxValue="4497"/>
    </cacheField>
    <cacheField name="Days (order_date)" numFmtId="0" databaseField="0">
      <fieldGroup base="1">
        <rangePr groupBy="days" startDate="2025-01-03T00:00:00" endDate="2025-10-26T00:00:00"/>
        <groupItems count="368">
          <s v="&lt;0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0-2025"/>
        </groupItems>
      </fieldGroup>
    </cacheField>
    <cacheField name="Months (order_date)" numFmtId="0" databaseField="0">
      <fieldGroup base="1">
        <rangePr groupBy="months" startDate="2025-01-03T00:00:00" endDate="2025-10-26T00:00:00"/>
        <groupItems count="14">
          <s v="&lt;03-01-2025"/>
          <s v="Jan"/>
          <s v="Feb"/>
          <s v="Mar"/>
          <s v="Apr"/>
          <s v="May"/>
          <s v="Jun"/>
          <s v="Jul"/>
          <s v="Aug"/>
          <s v="Sep"/>
          <s v="Oct"/>
          <s v="Nov"/>
          <s v="Dec"/>
          <s v="&gt;26-10-2025"/>
        </groupItems>
      </fieldGroup>
    </cacheField>
  </cacheFields>
  <extLst>
    <ext xmlns:x14="http://schemas.microsoft.com/office/spreadsheetml/2009/9/main" uri="{725AE2AE-9491-48be-B2B4-4EB974FC3084}">
      <x14:pivotCacheDefinition pivotCacheId="509178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s v="Aisha Khan"/>
    <s v="Female"/>
    <x v="0"/>
    <x v="0"/>
    <x v="0"/>
    <n v="799"/>
    <n v="2"/>
    <n v="1598"/>
  </r>
  <r>
    <n v="2"/>
    <x v="1"/>
    <s v="Ravi Sharma"/>
    <s v="Male"/>
    <x v="1"/>
    <x v="1"/>
    <x v="0"/>
    <n v="1499"/>
    <n v="1"/>
    <n v="1499"/>
  </r>
  <r>
    <n v="3"/>
    <x v="2"/>
    <s v="Neha Patel"/>
    <s v="Female"/>
    <x v="2"/>
    <x v="2"/>
    <x v="1"/>
    <n v="1299"/>
    <n v="2"/>
    <n v="2598"/>
  </r>
  <r>
    <n v="4"/>
    <x v="3"/>
    <s v="Arjun Reddy"/>
    <s v="Male"/>
    <x v="3"/>
    <x v="3"/>
    <x v="1"/>
    <n v="699"/>
    <n v="3"/>
    <n v="2097"/>
  </r>
  <r>
    <n v="5"/>
    <x v="4"/>
    <s v="Meera Iyer"/>
    <s v="Female"/>
    <x v="4"/>
    <x v="4"/>
    <x v="2"/>
    <n v="499"/>
    <n v="4"/>
    <n v="1996"/>
  </r>
  <r>
    <n v="6"/>
    <x v="5"/>
    <s v="Karan Singh"/>
    <s v="Male"/>
    <x v="5"/>
    <x v="5"/>
    <x v="2"/>
    <n v="399"/>
    <n v="3"/>
    <n v="1197"/>
  </r>
  <r>
    <n v="7"/>
    <x v="6"/>
    <s v="Sneha Joshi"/>
    <s v="Female"/>
    <x v="0"/>
    <x v="6"/>
    <x v="0"/>
    <n v="1199"/>
    <n v="2"/>
    <n v="2398"/>
  </r>
  <r>
    <n v="8"/>
    <x v="7"/>
    <s v="Rahul Verma"/>
    <s v="Male"/>
    <x v="1"/>
    <x v="7"/>
    <x v="1"/>
    <n v="999"/>
    <n v="1"/>
    <n v="999"/>
  </r>
  <r>
    <n v="9"/>
    <x v="8"/>
    <s v="Priya Nair"/>
    <s v="Female"/>
    <x v="2"/>
    <x v="0"/>
    <x v="0"/>
    <n v="799"/>
    <n v="2"/>
    <n v="1598"/>
  </r>
  <r>
    <n v="10"/>
    <x v="9"/>
    <s v="Amit Gupta"/>
    <s v="Male"/>
    <x v="3"/>
    <x v="1"/>
    <x v="0"/>
    <n v="1499"/>
    <n v="1"/>
    <n v="1499"/>
  </r>
  <r>
    <n v="11"/>
    <x v="10"/>
    <s v="Aisha Khan"/>
    <s v="Female"/>
    <x v="0"/>
    <x v="2"/>
    <x v="1"/>
    <n v="1299"/>
    <n v="2"/>
    <n v="2598"/>
  </r>
  <r>
    <n v="12"/>
    <x v="11"/>
    <s v="Ravi Sharma"/>
    <s v="Male"/>
    <x v="1"/>
    <x v="3"/>
    <x v="1"/>
    <n v="699"/>
    <n v="3"/>
    <n v="2097"/>
  </r>
  <r>
    <n v="13"/>
    <x v="12"/>
    <s v="Neha Patel"/>
    <s v="Female"/>
    <x v="2"/>
    <x v="4"/>
    <x v="2"/>
    <n v="499"/>
    <n v="2"/>
    <n v="998"/>
  </r>
  <r>
    <n v="14"/>
    <x v="13"/>
    <s v="Arjun Reddy"/>
    <s v="Male"/>
    <x v="3"/>
    <x v="5"/>
    <x v="2"/>
    <n v="399"/>
    <n v="4"/>
    <n v="1596"/>
  </r>
  <r>
    <n v="15"/>
    <x v="14"/>
    <s v="Meera Iyer"/>
    <s v="Female"/>
    <x v="4"/>
    <x v="6"/>
    <x v="0"/>
    <n v="1199"/>
    <n v="2"/>
    <n v="2398"/>
  </r>
  <r>
    <n v="16"/>
    <x v="15"/>
    <s v="Karan Singh"/>
    <s v="Male"/>
    <x v="5"/>
    <x v="7"/>
    <x v="1"/>
    <n v="999"/>
    <n v="1"/>
    <n v="999"/>
  </r>
  <r>
    <n v="17"/>
    <x v="16"/>
    <s v="Sneha Joshi"/>
    <s v="Female"/>
    <x v="0"/>
    <x v="0"/>
    <x v="0"/>
    <n v="799"/>
    <n v="3"/>
    <n v="2397"/>
  </r>
  <r>
    <n v="18"/>
    <x v="17"/>
    <s v="Rahul Verma"/>
    <s v="Male"/>
    <x v="1"/>
    <x v="1"/>
    <x v="0"/>
    <n v="1499"/>
    <n v="2"/>
    <n v="2998"/>
  </r>
  <r>
    <n v="19"/>
    <x v="18"/>
    <s v="Priya Nair"/>
    <s v="Female"/>
    <x v="2"/>
    <x v="2"/>
    <x v="1"/>
    <n v="1299"/>
    <n v="1"/>
    <n v="1299"/>
  </r>
  <r>
    <n v="20"/>
    <x v="19"/>
    <s v="Amit Gupta"/>
    <s v="Male"/>
    <x v="3"/>
    <x v="3"/>
    <x v="1"/>
    <n v="699"/>
    <n v="2"/>
    <n v="1398"/>
  </r>
  <r>
    <n v="21"/>
    <x v="20"/>
    <s v="Aisha Khan"/>
    <s v="Female"/>
    <x v="0"/>
    <x v="4"/>
    <x v="2"/>
    <n v="499"/>
    <n v="3"/>
    <n v="1497"/>
  </r>
  <r>
    <n v="22"/>
    <x v="21"/>
    <s v="Ravi Sharma"/>
    <s v="Male"/>
    <x v="1"/>
    <x v="5"/>
    <x v="2"/>
    <n v="399"/>
    <n v="2"/>
    <n v="798"/>
  </r>
  <r>
    <n v="23"/>
    <x v="22"/>
    <s v="Neha Patel"/>
    <s v="Female"/>
    <x v="2"/>
    <x v="6"/>
    <x v="0"/>
    <n v="1199"/>
    <n v="1"/>
    <n v="1199"/>
  </r>
  <r>
    <n v="24"/>
    <x v="23"/>
    <s v="Arjun Reddy"/>
    <s v="Male"/>
    <x v="3"/>
    <x v="7"/>
    <x v="1"/>
    <n v="999"/>
    <n v="2"/>
    <n v="1998"/>
  </r>
  <r>
    <n v="25"/>
    <x v="24"/>
    <s v="Meera Iyer"/>
    <s v="Female"/>
    <x v="4"/>
    <x v="0"/>
    <x v="0"/>
    <n v="799"/>
    <n v="4"/>
    <n v="3196"/>
  </r>
  <r>
    <n v="26"/>
    <x v="25"/>
    <s v="Karan Singh"/>
    <s v="Male"/>
    <x v="5"/>
    <x v="1"/>
    <x v="0"/>
    <n v="1499"/>
    <n v="2"/>
    <n v="2998"/>
  </r>
  <r>
    <n v="27"/>
    <x v="26"/>
    <s v="Sneha Joshi"/>
    <s v="Female"/>
    <x v="0"/>
    <x v="2"/>
    <x v="1"/>
    <n v="1299"/>
    <n v="1"/>
    <n v="1299"/>
  </r>
  <r>
    <n v="28"/>
    <x v="27"/>
    <s v="Rahul Verma"/>
    <s v="Male"/>
    <x v="1"/>
    <x v="3"/>
    <x v="1"/>
    <n v="699"/>
    <n v="2"/>
    <n v="1398"/>
  </r>
  <r>
    <n v="29"/>
    <x v="28"/>
    <s v="Priya Nair"/>
    <s v="Female"/>
    <x v="2"/>
    <x v="4"/>
    <x v="2"/>
    <n v="499"/>
    <n v="3"/>
    <n v="1497"/>
  </r>
  <r>
    <n v="30"/>
    <x v="29"/>
    <s v="Amit Gupta"/>
    <s v="Male"/>
    <x v="3"/>
    <x v="5"/>
    <x v="2"/>
    <n v="399"/>
    <n v="4"/>
    <n v="1596"/>
  </r>
  <r>
    <n v="31"/>
    <x v="30"/>
    <s v="Aisha Khan"/>
    <s v="Female"/>
    <x v="0"/>
    <x v="6"/>
    <x v="0"/>
    <n v="1199"/>
    <n v="2"/>
    <n v="2398"/>
  </r>
  <r>
    <n v="32"/>
    <x v="31"/>
    <s v="Ravi Sharma"/>
    <s v="Male"/>
    <x v="1"/>
    <x v="7"/>
    <x v="1"/>
    <n v="999"/>
    <n v="1"/>
    <n v="999"/>
  </r>
  <r>
    <n v="33"/>
    <x v="32"/>
    <s v="Neha Patel"/>
    <s v="Female"/>
    <x v="2"/>
    <x v="0"/>
    <x v="0"/>
    <n v="799"/>
    <n v="3"/>
    <n v="2397"/>
  </r>
  <r>
    <n v="34"/>
    <x v="33"/>
    <s v="Arjun Reddy"/>
    <s v="Male"/>
    <x v="3"/>
    <x v="1"/>
    <x v="0"/>
    <n v="1499"/>
    <n v="2"/>
    <n v="2998"/>
  </r>
  <r>
    <n v="35"/>
    <x v="34"/>
    <s v="Meera Iyer"/>
    <s v="Female"/>
    <x v="4"/>
    <x v="2"/>
    <x v="1"/>
    <n v="1299"/>
    <n v="1"/>
    <n v="1299"/>
  </r>
  <r>
    <n v="36"/>
    <x v="35"/>
    <s v="Karan Singh"/>
    <s v="Male"/>
    <x v="5"/>
    <x v="3"/>
    <x v="1"/>
    <n v="699"/>
    <n v="2"/>
    <n v="1398"/>
  </r>
  <r>
    <n v="37"/>
    <x v="36"/>
    <s v="Sneha Joshi"/>
    <s v="Female"/>
    <x v="0"/>
    <x v="4"/>
    <x v="2"/>
    <n v="499"/>
    <n v="4"/>
    <n v="1996"/>
  </r>
  <r>
    <n v="38"/>
    <x v="37"/>
    <s v="Rahul Verma"/>
    <s v="Male"/>
    <x v="1"/>
    <x v="5"/>
    <x v="2"/>
    <n v="399"/>
    <n v="3"/>
    <n v="1197"/>
  </r>
  <r>
    <n v="39"/>
    <x v="38"/>
    <s v="Priya Nair"/>
    <s v="Female"/>
    <x v="2"/>
    <x v="6"/>
    <x v="0"/>
    <n v="1199"/>
    <n v="2"/>
    <n v="2398"/>
  </r>
  <r>
    <n v="40"/>
    <x v="39"/>
    <s v="Amit Gupta"/>
    <s v="Male"/>
    <x v="3"/>
    <x v="7"/>
    <x v="1"/>
    <n v="999"/>
    <n v="1"/>
    <n v="999"/>
  </r>
  <r>
    <n v="41"/>
    <x v="40"/>
    <s v="Aisha Khan"/>
    <s v="Female"/>
    <x v="0"/>
    <x v="0"/>
    <x v="0"/>
    <n v="799"/>
    <n v="2"/>
    <n v="1598"/>
  </r>
  <r>
    <n v="42"/>
    <x v="41"/>
    <s v="Ravi Sharma"/>
    <s v="Male"/>
    <x v="1"/>
    <x v="1"/>
    <x v="0"/>
    <n v="1499"/>
    <n v="3"/>
    <n v="4497"/>
  </r>
  <r>
    <n v="43"/>
    <x v="42"/>
    <s v="Neha Patel"/>
    <s v="Female"/>
    <x v="2"/>
    <x v="2"/>
    <x v="1"/>
    <n v="1299"/>
    <n v="2"/>
    <n v="2598"/>
  </r>
  <r>
    <n v="44"/>
    <x v="43"/>
    <s v="Arjun Reddy"/>
    <s v="Male"/>
    <x v="3"/>
    <x v="3"/>
    <x v="1"/>
    <n v="699"/>
    <n v="1"/>
    <n v="699"/>
  </r>
  <r>
    <n v="45"/>
    <x v="44"/>
    <s v="Meera Iyer"/>
    <s v="Female"/>
    <x v="4"/>
    <x v="4"/>
    <x v="2"/>
    <n v="499"/>
    <n v="4"/>
    <n v="1996"/>
  </r>
  <r>
    <n v="46"/>
    <x v="45"/>
    <s v="Karan Singh"/>
    <s v="Male"/>
    <x v="5"/>
    <x v="5"/>
    <x v="2"/>
    <n v="399"/>
    <n v="3"/>
    <n v="1197"/>
  </r>
  <r>
    <n v="47"/>
    <x v="46"/>
    <s v="Sneha Joshi"/>
    <s v="Female"/>
    <x v="0"/>
    <x v="6"/>
    <x v="0"/>
    <n v="1199"/>
    <n v="2"/>
    <n v="2398"/>
  </r>
  <r>
    <n v="48"/>
    <x v="47"/>
    <s v="Rahul Verma"/>
    <s v="Male"/>
    <x v="1"/>
    <x v="7"/>
    <x v="1"/>
    <n v="999"/>
    <n v="1"/>
    <n v="999"/>
  </r>
  <r>
    <n v="49"/>
    <x v="48"/>
    <s v="Priya Nair"/>
    <s v="Female"/>
    <x v="2"/>
    <x v="0"/>
    <x v="0"/>
    <n v="799"/>
    <n v="3"/>
    <n v="2397"/>
  </r>
  <r>
    <n v="50"/>
    <x v="49"/>
    <s v="Amit Gupta"/>
    <s v="Male"/>
    <x v="3"/>
    <x v="1"/>
    <x v="0"/>
    <n v="1499"/>
    <n v="2"/>
    <n v="2998"/>
  </r>
  <r>
    <n v="51"/>
    <x v="50"/>
    <s v="Aisha Khan"/>
    <s v="Female"/>
    <x v="0"/>
    <x v="2"/>
    <x v="1"/>
    <n v="1299"/>
    <n v="2"/>
    <n v="2598"/>
  </r>
  <r>
    <n v="52"/>
    <x v="51"/>
    <s v="Ravi Sharma"/>
    <s v="Male"/>
    <x v="1"/>
    <x v="3"/>
    <x v="1"/>
    <n v="699"/>
    <n v="1"/>
    <n v="699"/>
  </r>
  <r>
    <n v="53"/>
    <x v="52"/>
    <s v="Neha Patel"/>
    <s v="Female"/>
    <x v="2"/>
    <x v="4"/>
    <x v="2"/>
    <n v="499"/>
    <n v="3"/>
    <n v="1497"/>
  </r>
  <r>
    <n v="54"/>
    <x v="53"/>
    <s v="Arjun Reddy"/>
    <s v="Male"/>
    <x v="3"/>
    <x v="5"/>
    <x v="2"/>
    <n v="399"/>
    <n v="2"/>
    <n v="798"/>
  </r>
  <r>
    <n v="55"/>
    <x v="54"/>
    <s v="Meera Iyer"/>
    <s v="Female"/>
    <x v="4"/>
    <x v="6"/>
    <x v="0"/>
    <n v="1199"/>
    <n v="1"/>
    <n v="1199"/>
  </r>
  <r>
    <n v="56"/>
    <x v="55"/>
    <s v="Karan Singh"/>
    <s v="Male"/>
    <x v="5"/>
    <x v="7"/>
    <x v="1"/>
    <n v="999"/>
    <n v="2"/>
    <n v="1998"/>
  </r>
  <r>
    <n v="57"/>
    <x v="56"/>
    <s v="Sneha Joshi"/>
    <s v="Female"/>
    <x v="0"/>
    <x v="0"/>
    <x v="0"/>
    <n v="799"/>
    <n v="3"/>
    <n v="2397"/>
  </r>
  <r>
    <n v="58"/>
    <x v="57"/>
    <s v="Rahul Verma"/>
    <s v="Male"/>
    <x v="1"/>
    <x v="1"/>
    <x v="0"/>
    <n v="1499"/>
    <n v="1"/>
    <n v="1499"/>
  </r>
  <r>
    <n v="59"/>
    <x v="58"/>
    <s v="Priya Nair"/>
    <s v="Female"/>
    <x v="2"/>
    <x v="2"/>
    <x v="1"/>
    <n v="1299"/>
    <n v="2"/>
    <n v="2598"/>
  </r>
  <r>
    <n v="60"/>
    <x v="59"/>
    <s v="Amit Gupta"/>
    <s v="Male"/>
    <x v="3"/>
    <x v="3"/>
    <x v="1"/>
    <n v="699"/>
    <n v="3"/>
    <n v="2097"/>
  </r>
  <r>
    <n v="61"/>
    <x v="60"/>
    <s v="Aisha Khan"/>
    <s v="Female"/>
    <x v="0"/>
    <x v="4"/>
    <x v="2"/>
    <n v="499"/>
    <n v="4"/>
    <n v="1996"/>
  </r>
  <r>
    <n v="62"/>
    <x v="61"/>
    <s v="Ravi Sharma"/>
    <s v="Male"/>
    <x v="1"/>
    <x v="5"/>
    <x v="2"/>
    <n v="399"/>
    <n v="2"/>
    <n v="798"/>
  </r>
  <r>
    <n v="63"/>
    <x v="62"/>
    <s v="Neha Patel"/>
    <s v="Female"/>
    <x v="2"/>
    <x v="6"/>
    <x v="0"/>
    <n v="1199"/>
    <n v="1"/>
    <n v="1199"/>
  </r>
  <r>
    <n v="64"/>
    <x v="63"/>
    <s v="Arjun Reddy"/>
    <s v="Male"/>
    <x v="3"/>
    <x v="7"/>
    <x v="1"/>
    <n v="999"/>
    <n v="2"/>
    <n v="1998"/>
  </r>
  <r>
    <n v="65"/>
    <x v="64"/>
    <s v="Meera Iyer"/>
    <s v="Female"/>
    <x v="4"/>
    <x v="0"/>
    <x v="0"/>
    <n v="799"/>
    <n v="3"/>
    <n v="2397"/>
  </r>
  <r>
    <n v="66"/>
    <x v="65"/>
    <s v="Karan Singh"/>
    <s v="Male"/>
    <x v="5"/>
    <x v="1"/>
    <x v="0"/>
    <n v="1499"/>
    <n v="2"/>
    <n v="2998"/>
  </r>
  <r>
    <n v="67"/>
    <x v="66"/>
    <s v="Sneha Joshi"/>
    <s v="Female"/>
    <x v="0"/>
    <x v="2"/>
    <x v="1"/>
    <n v="1299"/>
    <n v="1"/>
    <n v="1299"/>
  </r>
  <r>
    <n v="68"/>
    <x v="67"/>
    <s v="Rahul Verma"/>
    <s v="Male"/>
    <x v="1"/>
    <x v="3"/>
    <x v="1"/>
    <n v="699"/>
    <n v="2"/>
    <n v="1398"/>
  </r>
  <r>
    <n v="69"/>
    <x v="68"/>
    <s v="Priya Nair"/>
    <s v="Female"/>
    <x v="2"/>
    <x v="4"/>
    <x v="2"/>
    <n v="499"/>
    <n v="3"/>
    <n v="1497"/>
  </r>
  <r>
    <n v="70"/>
    <x v="69"/>
    <s v="Amit Gupta"/>
    <s v="Male"/>
    <x v="3"/>
    <x v="5"/>
    <x v="2"/>
    <n v="399"/>
    <n v="4"/>
    <n v="1596"/>
  </r>
  <r>
    <n v="71"/>
    <x v="70"/>
    <s v="Aisha Khan"/>
    <s v="Female"/>
    <x v="0"/>
    <x v="6"/>
    <x v="0"/>
    <n v="1199"/>
    <n v="2"/>
    <n v="2398"/>
  </r>
  <r>
    <n v="72"/>
    <x v="71"/>
    <s v="Ravi Sharma"/>
    <s v="Male"/>
    <x v="1"/>
    <x v="7"/>
    <x v="1"/>
    <n v="999"/>
    <n v="1"/>
    <n v="999"/>
  </r>
  <r>
    <n v="73"/>
    <x v="72"/>
    <s v="Neha Patel"/>
    <s v="Female"/>
    <x v="2"/>
    <x v="0"/>
    <x v="0"/>
    <n v="799"/>
    <n v="3"/>
    <n v="2397"/>
  </r>
  <r>
    <n v="74"/>
    <x v="73"/>
    <s v="Arjun Reddy"/>
    <s v="Male"/>
    <x v="3"/>
    <x v="1"/>
    <x v="0"/>
    <n v="1499"/>
    <n v="2"/>
    <n v="2998"/>
  </r>
  <r>
    <n v="75"/>
    <x v="74"/>
    <s v="Meera Iyer"/>
    <s v="Female"/>
    <x v="4"/>
    <x v="2"/>
    <x v="1"/>
    <n v="1299"/>
    <n v="1"/>
    <n v="1299"/>
  </r>
  <r>
    <n v="76"/>
    <x v="75"/>
    <s v="Karan Singh"/>
    <s v="Male"/>
    <x v="5"/>
    <x v="3"/>
    <x v="1"/>
    <n v="699"/>
    <n v="2"/>
    <n v="1398"/>
  </r>
  <r>
    <n v="77"/>
    <x v="76"/>
    <s v="Sneha Joshi"/>
    <s v="Female"/>
    <x v="0"/>
    <x v="4"/>
    <x v="2"/>
    <n v="499"/>
    <n v="4"/>
    <n v="1996"/>
  </r>
  <r>
    <n v="78"/>
    <x v="77"/>
    <s v="Rahul Verma"/>
    <s v="Male"/>
    <x v="1"/>
    <x v="5"/>
    <x v="2"/>
    <n v="399"/>
    <n v="3"/>
    <n v="1197"/>
  </r>
  <r>
    <n v="79"/>
    <x v="78"/>
    <s v="Priya Nair"/>
    <s v="Female"/>
    <x v="2"/>
    <x v="6"/>
    <x v="0"/>
    <n v="1199"/>
    <n v="2"/>
    <n v="2398"/>
  </r>
  <r>
    <n v="80"/>
    <x v="79"/>
    <s v="Amit Gupta"/>
    <s v="Male"/>
    <x v="3"/>
    <x v="7"/>
    <x v="1"/>
    <n v="999"/>
    <n v="1"/>
    <n v="999"/>
  </r>
  <r>
    <n v="81"/>
    <x v="80"/>
    <s v="Aisha Khan"/>
    <s v="Female"/>
    <x v="0"/>
    <x v="0"/>
    <x v="0"/>
    <n v="799"/>
    <n v="2"/>
    <n v="1598"/>
  </r>
  <r>
    <n v="82"/>
    <x v="81"/>
    <s v="Ravi Sharma"/>
    <s v="Male"/>
    <x v="1"/>
    <x v="1"/>
    <x v="0"/>
    <n v="1499"/>
    <n v="1"/>
    <n v="1499"/>
  </r>
  <r>
    <n v="83"/>
    <x v="82"/>
    <s v="Neha Patel"/>
    <s v="Female"/>
    <x v="2"/>
    <x v="2"/>
    <x v="1"/>
    <n v="1299"/>
    <n v="2"/>
    <n v="2598"/>
  </r>
  <r>
    <n v="84"/>
    <x v="83"/>
    <s v="Arjun Reddy"/>
    <s v="Male"/>
    <x v="3"/>
    <x v="3"/>
    <x v="1"/>
    <n v="699"/>
    <n v="3"/>
    <n v="2097"/>
  </r>
  <r>
    <n v="85"/>
    <x v="84"/>
    <s v="Meera Iyer"/>
    <s v="Female"/>
    <x v="4"/>
    <x v="4"/>
    <x v="2"/>
    <n v="499"/>
    <n v="4"/>
    <n v="1996"/>
  </r>
  <r>
    <n v="86"/>
    <x v="85"/>
    <s v="Karan Singh"/>
    <s v="Male"/>
    <x v="5"/>
    <x v="5"/>
    <x v="2"/>
    <n v="399"/>
    <n v="3"/>
    <n v="1197"/>
  </r>
  <r>
    <n v="87"/>
    <x v="86"/>
    <s v="Sneha Joshi"/>
    <s v="Female"/>
    <x v="0"/>
    <x v="6"/>
    <x v="0"/>
    <n v="1199"/>
    <n v="2"/>
    <n v="2398"/>
  </r>
  <r>
    <n v="88"/>
    <x v="87"/>
    <s v="Rahul Verma"/>
    <s v="Male"/>
    <x v="1"/>
    <x v="7"/>
    <x v="1"/>
    <n v="999"/>
    <n v="1"/>
    <n v="999"/>
  </r>
  <r>
    <n v="89"/>
    <x v="88"/>
    <s v="Priya Nair"/>
    <s v="Female"/>
    <x v="2"/>
    <x v="0"/>
    <x v="0"/>
    <n v="799"/>
    <n v="3"/>
    <n v="2397"/>
  </r>
  <r>
    <n v="90"/>
    <x v="89"/>
    <s v="Amit Gupta"/>
    <s v="Male"/>
    <x v="3"/>
    <x v="1"/>
    <x v="0"/>
    <n v="1499"/>
    <n v="2"/>
    <n v="2998"/>
  </r>
  <r>
    <n v="91"/>
    <x v="90"/>
    <s v="Aisha Khan"/>
    <s v="Female"/>
    <x v="0"/>
    <x v="2"/>
    <x v="1"/>
    <n v="1299"/>
    <n v="2"/>
    <n v="2598"/>
  </r>
  <r>
    <n v="92"/>
    <x v="91"/>
    <s v="Ravi Sharma"/>
    <s v="Male"/>
    <x v="1"/>
    <x v="3"/>
    <x v="1"/>
    <n v="699"/>
    <n v="3"/>
    <n v="2097"/>
  </r>
  <r>
    <n v="93"/>
    <x v="92"/>
    <s v="Neha Patel"/>
    <s v="Female"/>
    <x v="2"/>
    <x v="4"/>
    <x v="2"/>
    <n v="499"/>
    <n v="2"/>
    <n v="998"/>
  </r>
  <r>
    <n v="94"/>
    <x v="93"/>
    <s v="Arjun Reddy"/>
    <s v="Male"/>
    <x v="3"/>
    <x v="5"/>
    <x v="2"/>
    <n v="399"/>
    <n v="4"/>
    <n v="1596"/>
  </r>
  <r>
    <n v="95"/>
    <x v="94"/>
    <s v="Meera Iyer"/>
    <s v="Female"/>
    <x v="4"/>
    <x v="6"/>
    <x v="0"/>
    <n v="1199"/>
    <n v="2"/>
    <n v="2398"/>
  </r>
  <r>
    <n v="96"/>
    <x v="95"/>
    <s v="Karan Singh"/>
    <s v="Male"/>
    <x v="5"/>
    <x v="7"/>
    <x v="1"/>
    <n v="999"/>
    <n v="1"/>
    <n v="999"/>
  </r>
  <r>
    <n v="97"/>
    <x v="96"/>
    <s v="Sneha Joshi"/>
    <s v="Female"/>
    <x v="0"/>
    <x v="0"/>
    <x v="0"/>
    <n v="799"/>
    <n v="3"/>
    <n v="2397"/>
  </r>
  <r>
    <n v="98"/>
    <x v="97"/>
    <s v="Rahul Verma"/>
    <s v="Male"/>
    <x v="1"/>
    <x v="1"/>
    <x v="0"/>
    <n v="1499"/>
    <n v="2"/>
    <n v="2998"/>
  </r>
  <r>
    <n v="99"/>
    <x v="98"/>
    <s v="Priya Nair"/>
    <s v="Female"/>
    <x v="2"/>
    <x v="2"/>
    <x v="1"/>
    <n v="1299"/>
    <n v="1"/>
    <n v="1299"/>
  </r>
  <r>
    <n v="100"/>
    <x v="99"/>
    <s v="Amit Gupta"/>
    <s v="Male"/>
    <x v="3"/>
    <x v="3"/>
    <x v="1"/>
    <n v="699"/>
    <n v="2"/>
    <n v="13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32C42C-D2EB-41C8-98BA-0E410D0E3146}"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15:E26" firstHeaderRow="1" firstDataRow="1" firstDataCol="1"/>
  <pivotFields count="12">
    <pivotField showAll="0"/>
    <pivotField axis="axisRow"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showAll="0"/>
    <pivotField numFmtId="164" showAll="0"/>
    <pivotField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1"/>
    <field x="1"/>
  </rowFields>
  <rowItems count="11">
    <i>
      <x v="1"/>
    </i>
    <i>
      <x v="2"/>
    </i>
    <i>
      <x v="3"/>
    </i>
    <i>
      <x v="4"/>
    </i>
    <i>
      <x v="5"/>
    </i>
    <i>
      <x v="6"/>
    </i>
    <i>
      <x v="7"/>
    </i>
    <i>
      <x v="8"/>
    </i>
    <i>
      <x v="9"/>
    </i>
    <i>
      <x v="10"/>
    </i>
    <i t="grand">
      <x/>
    </i>
  </rowItems>
  <colItems count="1">
    <i/>
  </colItems>
  <dataFields count="1">
    <dataField name="Sum of total_amount" fld="9" baseField="0" baseItem="0" numFmtId="164"/>
  </dataFields>
  <chartFormats count="3">
    <chartFormat chart="0"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63DC7C-6411-4AD2-893C-DF8A01943B5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2" firstHeaderRow="1" firstDataRow="1" firstDataCol="1"/>
  <pivotFields count="12">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axis="axisRow" showAll="0">
      <items count="9">
        <item x="5"/>
        <item x="4"/>
        <item x="1"/>
        <item x="6"/>
        <item x="0"/>
        <item x="2"/>
        <item x="7"/>
        <item x="3"/>
        <item t="default"/>
      </items>
    </pivotField>
    <pivotField showAll="0"/>
    <pivotField numFmtId="164"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i>
    <i>
      <x v="1"/>
    </i>
    <i>
      <x v="2"/>
    </i>
    <i>
      <x v="3"/>
    </i>
    <i>
      <x v="4"/>
    </i>
    <i>
      <x v="5"/>
    </i>
    <i>
      <x v="6"/>
    </i>
    <i>
      <x v="7"/>
    </i>
    <i t="grand">
      <x/>
    </i>
  </rowItems>
  <colItems count="1">
    <i/>
  </colItems>
  <dataFields count="1">
    <dataField name="Sum of total_amount" fld="9"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1488C5-E17F-4E60-BFCB-5B6609028794}"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17" firstHeaderRow="1" firstDataRow="1" firstDataCol="1"/>
  <pivotFields count="12">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7">
        <item x="2"/>
        <item x="4"/>
        <item x="1"/>
        <item x="3"/>
        <item x="0"/>
        <item x="5"/>
        <item t="default"/>
      </items>
    </pivotField>
    <pivotField showAll="0"/>
    <pivotField showAll="0"/>
    <pivotField numFmtId="164"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Items count="1">
    <i/>
  </colItems>
  <dataFields count="1">
    <dataField name="Sum of total_amount" fld="9" baseField="0" baseItem="0" numFmtId="164"/>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CE8320-58B0-4924-8704-F0E0AD3FEE8A}"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7" firstHeaderRow="1" firstDataRow="1" firstDataCol="1"/>
  <pivotFields count="12">
    <pivotField showAll="0"/>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7">
        <item x="2"/>
        <item x="4"/>
        <item x="1"/>
        <item x="3"/>
        <item x="0"/>
        <item x="5"/>
        <item t="default"/>
      </items>
    </pivotField>
    <pivotField showAll="0"/>
    <pivotField axis="axisRow" showAll="0">
      <items count="4">
        <item x="2"/>
        <item x="0"/>
        <item x="1"/>
        <item t="default"/>
      </items>
    </pivotField>
    <pivotField numFmtId="164"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total_amount" fld="9" baseField="0" baseItem="0" numFmtId="164"/>
  </dataFields>
  <chartFormats count="9">
    <chartFormat chart="15"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5" format="6">
      <pivotArea type="data" outline="0" fieldPosition="0">
        <references count="2">
          <reference field="4294967294" count="1" selected="0">
            <x v="0"/>
          </reference>
          <reference field="6" count="1" selected="0">
            <x v="0"/>
          </reference>
        </references>
      </pivotArea>
    </chartFormat>
    <chartFormat chart="35" format="7">
      <pivotArea type="data" outline="0" fieldPosition="0">
        <references count="2">
          <reference field="4294967294" count="1" selected="0">
            <x v="0"/>
          </reference>
          <reference field="6" count="1" selected="0">
            <x v="1"/>
          </reference>
        </references>
      </pivotArea>
    </chartFormat>
    <chartFormat chart="3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CE35BD-9834-4548-B756-6262FACAECBF}" sourceName="category">
  <pivotTables>
    <pivotTable tabId="3" name="PivotTable1"/>
  </pivotTables>
  <data>
    <tabular pivotCacheId="50917823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8AC8593-7ED6-4D99-902D-DA95B96B17E6}" sourceName="city">
  <pivotTables>
    <pivotTable tabId="3" name="PivotTable1"/>
  </pivotTables>
  <data>
    <tabular pivotCacheId="509178230">
      <items count="6">
        <i x="2" s="1"/>
        <i x="4" s="1"/>
        <i x="1"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88F36D7-6777-48F0-8D67-9B90C04F0243}" sourceName="Months (order_date)">
  <pivotTables>
    <pivotTable tabId="3" name="PivotTable1"/>
  </pivotTables>
  <data>
    <tabular pivotCacheId="509178230">
      <items count="14">
        <i x="1" s="1"/>
        <i x="2" s="1"/>
        <i x="3" s="1"/>
        <i x="4" s="1"/>
        <i x="5" s="1"/>
        <i x="6" s="1"/>
        <i x="7" s="1"/>
        <i x="8" s="1"/>
        <i x="9" s="1"/>
        <i x="10" s="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1C05AF8-19E3-45BD-AB7B-A83FF88A09BE}" cache="Slicer_category" caption="category" rowHeight="234950"/>
  <slicer name="city" xr10:uid="{8F0DB7E2-FFC1-4164-8501-9DA8E53F0409}" cache="Slicer_city" caption="city" rowHeight="234950"/>
  <slicer name="Months (order_date)" xr10:uid="{9C6BF6B6-D7C1-45B3-8681-D18C238F26B3}" cache="Slicer_Months__order_date" caption="Months (order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8EFE61-4C26-4F6A-B890-50E0A84BB1C8}" name="zudio_data" displayName="zudio_data" ref="A1:K101" totalsRowShown="0">
  <autoFilter ref="A1:K101" xr:uid="{C18EFE61-4C26-4F6A-B890-50E0A84BB1C8}"/>
  <tableColumns count="11">
    <tableColumn id="1" xr3:uid="{9AC1EAE3-26F5-4687-BDD2-33009A0A2F07}" name="order_id"/>
    <tableColumn id="2" xr3:uid="{0E6E12BA-F530-4004-B50E-2EC9CFBCD4C0}" name="order_date" dataDxfId="3"/>
    <tableColumn id="3" xr3:uid="{26628B33-1750-4FA6-A250-618ED54D3CE4}" name="customer_name"/>
    <tableColumn id="4" xr3:uid="{3F4CE5AA-CFDE-46B8-A476-0E065179D723}" name="gender"/>
    <tableColumn id="5" xr3:uid="{18A830BC-542D-48DE-AE9F-5F7B766B0B28}" name="city"/>
    <tableColumn id="6" xr3:uid="{A1A7BFFC-15A0-4A45-9D99-B9A18C0C2B58}" name="product_name"/>
    <tableColumn id="7" xr3:uid="{86CB911F-FD9A-4F05-A6AF-C1039A9E1748}" name="category"/>
    <tableColumn id="8" xr3:uid="{D0121414-69D0-42DD-B01E-95FC762D691E}" name="price" dataDxfId="2"/>
    <tableColumn id="9" xr3:uid="{B3745BA2-32CD-4F97-AF09-85159674AA8A}" name="quantity"/>
    <tableColumn id="10" xr3:uid="{5F8C46C6-18B1-4D40-AFE9-7964D5C04E2C}" name="total_amount" dataDxfId="1"/>
    <tableColumn id="11" xr3:uid="{EBD76840-DC41-4AC0-8A53-7345613C29B9}" name="Month" dataDxfId="0">
      <calculatedColumnFormula>TEXT(B2,"YYY-MM")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B23DA-42F4-409C-A769-F6834EB8BACD}">
  <dimension ref="B4:H5"/>
  <sheetViews>
    <sheetView showGridLines="0" tabSelected="1" topLeftCell="B29" workbookViewId="0">
      <selection activeCell="H47" sqref="H47"/>
    </sheetView>
  </sheetViews>
  <sheetFormatPr defaultRowHeight="14.4" x14ac:dyDescent="0.3"/>
  <cols>
    <col min="2" max="2" width="24.5546875" customWidth="1"/>
    <col min="3" max="3" width="13.33203125" customWidth="1"/>
    <col min="4" max="4" width="11.77734375" customWidth="1"/>
    <col min="5" max="5" width="21.109375" customWidth="1"/>
    <col min="6" max="7" width="12.21875" customWidth="1"/>
    <col min="8" max="8" width="25.77734375" customWidth="1"/>
    <col min="9" max="10" width="18" customWidth="1"/>
  </cols>
  <sheetData>
    <row r="4" spans="2:8" ht="21" x14ac:dyDescent="0.4">
      <c r="B4" s="5" t="s">
        <v>53</v>
      </c>
      <c r="E4" s="7" t="s">
        <v>54</v>
      </c>
      <c r="H4" s="8" t="s">
        <v>55</v>
      </c>
    </row>
    <row r="5" spans="2:8" ht="21" x14ac:dyDescent="0.4">
      <c r="B5" s="6">
        <f>SUM(zudio_data[total_amount])</f>
        <v>184379</v>
      </c>
      <c r="E5" s="7">
        <f>COUNT(zudio_data[order_id])</f>
        <v>100</v>
      </c>
      <c r="H5" s="9">
        <f>AVERAGE(zudio_data[total_amount])</f>
        <v>1843.79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6896-C88E-4C46-B9E9-02ED3A8C8EA2}">
  <dimension ref="A1:K101"/>
  <sheetViews>
    <sheetView workbookViewId="0">
      <selection activeCell="M8" sqref="M8"/>
    </sheetView>
  </sheetViews>
  <sheetFormatPr defaultRowHeight="14.4" x14ac:dyDescent="0.3"/>
  <cols>
    <col min="1" max="1" width="10" customWidth="1"/>
    <col min="2" max="2" width="12.44140625" customWidth="1"/>
    <col min="3" max="3" width="16.5546875" customWidth="1"/>
    <col min="5" max="5" width="11" customWidth="1"/>
    <col min="6" max="6" width="15.33203125" customWidth="1"/>
    <col min="7" max="7" width="10.21875" customWidth="1"/>
    <col min="8" max="8" width="12.21875" customWidth="1"/>
    <col min="9" max="9" width="10" customWidth="1"/>
    <col min="10" max="10" width="14.44140625" customWidth="1"/>
    <col min="11" max="11" width="14.5546875" customWidth="1"/>
  </cols>
  <sheetData>
    <row r="1" spans="1:11" x14ac:dyDescent="0.3">
      <c r="A1" t="s">
        <v>0</v>
      </c>
      <c r="B1" t="s">
        <v>1</v>
      </c>
      <c r="C1" t="s">
        <v>2</v>
      </c>
      <c r="D1" t="s">
        <v>3</v>
      </c>
      <c r="E1" t="s">
        <v>4</v>
      </c>
      <c r="F1" t="s">
        <v>5</v>
      </c>
      <c r="G1" t="s">
        <v>6</v>
      </c>
      <c r="H1" t="s">
        <v>7</v>
      </c>
      <c r="I1" t="s">
        <v>8</v>
      </c>
      <c r="J1" t="s">
        <v>9</v>
      </c>
      <c r="K1" t="s">
        <v>42</v>
      </c>
    </row>
    <row r="2" spans="1:11" x14ac:dyDescent="0.3">
      <c r="A2">
        <v>1</v>
      </c>
      <c r="B2" s="1">
        <v>45660</v>
      </c>
      <c r="C2" t="s">
        <v>10</v>
      </c>
      <c r="D2" t="s">
        <v>11</v>
      </c>
      <c r="E2" t="s">
        <v>12</v>
      </c>
      <c r="F2" t="s">
        <v>13</v>
      </c>
      <c r="G2" t="s">
        <v>14</v>
      </c>
      <c r="H2" s="2">
        <v>799</v>
      </c>
      <c r="I2">
        <v>2</v>
      </c>
      <c r="J2" s="2">
        <v>1598</v>
      </c>
      <c r="K2" t="str">
        <f t="shared" ref="K2:K33" si="0">TEXT(B2,"YYY-MM")</f>
        <v>2025-01</v>
      </c>
    </row>
    <row r="3" spans="1:11" x14ac:dyDescent="0.3">
      <c r="A3">
        <v>2</v>
      </c>
      <c r="B3" s="1">
        <v>45662</v>
      </c>
      <c r="C3" t="s">
        <v>21</v>
      </c>
      <c r="D3" t="s">
        <v>22</v>
      </c>
      <c r="E3" t="s">
        <v>23</v>
      </c>
      <c r="F3" t="s">
        <v>24</v>
      </c>
      <c r="G3" t="s">
        <v>14</v>
      </c>
      <c r="H3" s="2">
        <v>1499</v>
      </c>
      <c r="I3">
        <v>1</v>
      </c>
      <c r="J3" s="2">
        <v>1499</v>
      </c>
      <c r="K3" t="str">
        <f t="shared" si="0"/>
        <v>2025-01</v>
      </c>
    </row>
    <row r="4" spans="1:11" x14ac:dyDescent="0.3">
      <c r="A4">
        <v>3</v>
      </c>
      <c r="B4" s="1">
        <v>45664</v>
      </c>
      <c r="C4" t="s">
        <v>20</v>
      </c>
      <c r="D4" t="s">
        <v>11</v>
      </c>
      <c r="E4" t="s">
        <v>16</v>
      </c>
      <c r="F4" t="s">
        <v>31</v>
      </c>
      <c r="G4" t="s">
        <v>32</v>
      </c>
      <c r="H4" s="2">
        <v>1299</v>
      </c>
      <c r="I4">
        <v>2</v>
      </c>
      <c r="J4" s="2">
        <v>2598</v>
      </c>
      <c r="K4" t="str">
        <f t="shared" si="0"/>
        <v>2025-01</v>
      </c>
    </row>
    <row r="5" spans="1:11" x14ac:dyDescent="0.3">
      <c r="A5">
        <v>4</v>
      </c>
      <c r="B5" s="1">
        <v>45667</v>
      </c>
      <c r="C5" t="s">
        <v>30</v>
      </c>
      <c r="D5" t="s">
        <v>22</v>
      </c>
      <c r="E5" t="s">
        <v>26</v>
      </c>
      <c r="F5" t="s">
        <v>33</v>
      </c>
      <c r="G5" t="s">
        <v>32</v>
      </c>
      <c r="H5" s="2">
        <v>699</v>
      </c>
      <c r="I5">
        <v>3</v>
      </c>
      <c r="J5" s="2">
        <v>2097</v>
      </c>
      <c r="K5" t="str">
        <f t="shared" si="0"/>
        <v>2025-01</v>
      </c>
    </row>
    <row r="6" spans="1:11" x14ac:dyDescent="0.3">
      <c r="A6">
        <v>5</v>
      </c>
      <c r="B6" s="1">
        <v>45669</v>
      </c>
      <c r="C6" t="s">
        <v>18</v>
      </c>
      <c r="D6" t="s">
        <v>11</v>
      </c>
      <c r="E6" t="s">
        <v>19</v>
      </c>
      <c r="F6" t="s">
        <v>34</v>
      </c>
      <c r="G6" t="s">
        <v>35</v>
      </c>
      <c r="H6" s="2">
        <v>499</v>
      </c>
      <c r="I6">
        <v>4</v>
      </c>
      <c r="J6" s="2">
        <v>1996</v>
      </c>
      <c r="K6" t="str">
        <f t="shared" si="0"/>
        <v>2025-01</v>
      </c>
    </row>
    <row r="7" spans="1:11" x14ac:dyDescent="0.3">
      <c r="A7">
        <v>6</v>
      </c>
      <c r="B7" s="1">
        <v>45672</v>
      </c>
      <c r="C7" t="s">
        <v>28</v>
      </c>
      <c r="D7" t="s">
        <v>22</v>
      </c>
      <c r="E7" t="s">
        <v>29</v>
      </c>
      <c r="F7" t="s">
        <v>36</v>
      </c>
      <c r="G7" t="s">
        <v>35</v>
      </c>
      <c r="H7" s="2">
        <v>399</v>
      </c>
      <c r="I7">
        <v>3</v>
      </c>
      <c r="J7" s="2">
        <v>1197</v>
      </c>
      <c r="K7" t="str">
        <f t="shared" si="0"/>
        <v>2025-01</v>
      </c>
    </row>
    <row r="8" spans="1:11" x14ac:dyDescent="0.3">
      <c r="A8">
        <v>7</v>
      </c>
      <c r="B8" s="1">
        <v>45675</v>
      </c>
      <c r="C8" t="s">
        <v>17</v>
      </c>
      <c r="D8" t="s">
        <v>11</v>
      </c>
      <c r="E8" t="s">
        <v>12</v>
      </c>
      <c r="F8" t="s">
        <v>37</v>
      </c>
      <c r="G8" t="s">
        <v>14</v>
      </c>
      <c r="H8" s="2">
        <v>1199</v>
      </c>
      <c r="I8">
        <v>2</v>
      </c>
      <c r="J8" s="2">
        <v>2398</v>
      </c>
      <c r="K8" t="str">
        <f t="shared" si="0"/>
        <v>2025-01</v>
      </c>
    </row>
    <row r="9" spans="1:11" x14ac:dyDescent="0.3">
      <c r="A9">
        <v>8</v>
      </c>
      <c r="B9" s="1">
        <v>45677</v>
      </c>
      <c r="C9" t="s">
        <v>27</v>
      </c>
      <c r="D9" t="s">
        <v>22</v>
      </c>
      <c r="E9" t="s">
        <v>23</v>
      </c>
      <c r="F9" t="s">
        <v>38</v>
      </c>
      <c r="G9" t="s">
        <v>32</v>
      </c>
      <c r="H9" s="2">
        <v>999</v>
      </c>
      <c r="I9">
        <v>1</v>
      </c>
      <c r="J9" s="2">
        <v>999</v>
      </c>
      <c r="K9" t="str">
        <f t="shared" si="0"/>
        <v>2025-01</v>
      </c>
    </row>
    <row r="10" spans="1:11" x14ac:dyDescent="0.3">
      <c r="A10">
        <v>9</v>
      </c>
      <c r="B10" s="1">
        <v>45679</v>
      </c>
      <c r="C10" t="s">
        <v>15</v>
      </c>
      <c r="D10" t="s">
        <v>11</v>
      </c>
      <c r="E10" t="s">
        <v>16</v>
      </c>
      <c r="F10" t="s">
        <v>13</v>
      </c>
      <c r="G10" t="s">
        <v>14</v>
      </c>
      <c r="H10" s="2">
        <v>799</v>
      </c>
      <c r="I10">
        <v>2</v>
      </c>
      <c r="J10" s="2">
        <v>1598</v>
      </c>
      <c r="K10" t="str">
        <f t="shared" si="0"/>
        <v>2025-01</v>
      </c>
    </row>
    <row r="11" spans="1:11" x14ac:dyDescent="0.3">
      <c r="A11">
        <v>10</v>
      </c>
      <c r="B11" s="1">
        <v>45682</v>
      </c>
      <c r="C11" t="s">
        <v>25</v>
      </c>
      <c r="D11" t="s">
        <v>22</v>
      </c>
      <c r="E11" t="s">
        <v>26</v>
      </c>
      <c r="F11" t="s">
        <v>24</v>
      </c>
      <c r="G11" t="s">
        <v>14</v>
      </c>
      <c r="H11" s="2">
        <v>1499</v>
      </c>
      <c r="I11">
        <v>1</v>
      </c>
      <c r="J11" s="2">
        <v>1499</v>
      </c>
      <c r="K11" t="str">
        <f t="shared" si="0"/>
        <v>2025-01</v>
      </c>
    </row>
    <row r="12" spans="1:11" x14ac:dyDescent="0.3">
      <c r="A12">
        <v>11</v>
      </c>
      <c r="B12" s="1">
        <v>45690</v>
      </c>
      <c r="C12" t="s">
        <v>10</v>
      </c>
      <c r="D12" t="s">
        <v>11</v>
      </c>
      <c r="E12" t="s">
        <v>12</v>
      </c>
      <c r="F12" t="s">
        <v>31</v>
      </c>
      <c r="G12" t="s">
        <v>32</v>
      </c>
      <c r="H12" s="2">
        <v>1299</v>
      </c>
      <c r="I12">
        <v>2</v>
      </c>
      <c r="J12" s="2">
        <v>2598</v>
      </c>
      <c r="K12" t="str">
        <f t="shared" si="0"/>
        <v>2025-02</v>
      </c>
    </row>
    <row r="13" spans="1:11" x14ac:dyDescent="0.3">
      <c r="A13">
        <v>12</v>
      </c>
      <c r="B13" s="1">
        <v>45693</v>
      </c>
      <c r="C13" t="s">
        <v>21</v>
      </c>
      <c r="D13" t="s">
        <v>22</v>
      </c>
      <c r="E13" t="s">
        <v>23</v>
      </c>
      <c r="F13" t="s">
        <v>33</v>
      </c>
      <c r="G13" t="s">
        <v>32</v>
      </c>
      <c r="H13" s="2">
        <v>699</v>
      </c>
      <c r="I13">
        <v>3</v>
      </c>
      <c r="J13" s="2">
        <v>2097</v>
      </c>
      <c r="K13" t="str">
        <f t="shared" si="0"/>
        <v>2025-02</v>
      </c>
    </row>
    <row r="14" spans="1:11" x14ac:dyDescent="0.3">
      <c r="A14">
        <v>13</v>
      </c>
      <c r="B14" s="1">
        <v>45696</v>
      </c>
      <c r="C14" t="s">
        <v>20</v>
      </c>
      <c r="D14" t="s">
        <v>11</v>
      </c>
      <c r="E14" t="s">
        <v>16</v>
      </c>
      <c r="F14" t="s">
        <v>34</v>
      </c>
      <c r="G14" t="s">
        <v>35</v>
      </c>
      <c r="H14" s="2">
        <v>499</v>
      </c>
      <c r="I14">
        <v>2</v>
      </c>
      <c r="J14" s="2">
        <v>998</v>
      </c>
      <c r="K14" t="str">
        <f t="shared" si="0"/>
        <v>2025-02</v>
      </c>
    </row>
    <row r="15" spans="1:11" x14ac:dyDescent="0.3">
      <c r="A15">
        <v>14</v>
      </c>
      <c r="B15" s="1">
        <v>45698</v>
      </c>
      <c r="C15" t="s">
        <v>30</v>
      </c>
      <c r="D15" t="s">
        <v>22</v>
      </c>
      <c r="E15" t="s">
        <v>26</v>
      </c>
      <c r="F15" t="s">
        <v>36</v>
      </c>
      <c r="G15" t="s">
        <v>35</v>
      </c>
      <c r="H15" s="2">
        <v>399</v>
      </c>
      <c r="I15">
        <v>4</v>
      </c>
      <c r="J15" s="2">
        <v>1596</v>
      </c>
      <c r="K15" t="str">
        <f t="shared" si="0"/>
        <v>2025-02</v>
      </c>
    </row>
    <row r="16" spans="1:11" x14ac:dyDescent="0.3">
      <c r="A16">
        <v>15</v>
      </c>
      <c r="B16" s="1">
        <v>45702</v>
      </c>
      <c r="C16" t="s">
        <v>18</v>
      </c>
      <c r="D16" t="s">
        <v>11</v>
      </c>
      <c r="E16" t="s">
        <v>19</v>
      </c>
      <c r="F16" t="s">
        <v>37</v>
      </c>
      <c r="G16" t="s">
        <v>14</v>
      </c>
      <c r="H16" s="2">
        <v>1199</v>
      </c>
      <c r="I16">
        <v>2</v>
      </c>
      <c r="J16" s="2">
        <v>2398</v>
      </c>
      <c r="K16" t="str">
        <f t="shared" si="0"/>
        <v>2025-02</v>
      </c>
    </row>
    <row r="17" spans="1:11" x14ac:dyDescent="0.3">
      <c r="A17">
        <v>16</v>
      </c>
      <c r="B17" s="1">
        <v>45706</v>
      </c>
      <c r="C17" t="s">
        <v>28</v>
      </c>
      <c r="D17" t="s">
        <v>22</v>
      </c>
      <c r="E17" t="s">
        <v>29</v>
      </c>
      <c r="F17" t="s">
        <v>38</v>
      </c>
      <c r="G17" t="s">
        <v>32</v>
      </c>
      <c r="H17" s="2">
        <v>999</v>
      </c>
      <c r="I17">
        <v>1</v>
      </c>
      <c r="J17" s="2">
        <v>999</v>
      </c>
      <c r="K17" t="str">
        <f t="shared" si="0"/>
        <v>2025-02</v>
      </c>
    </row>
    <row r="18" spans="1:11" x14ac:dyDescent="0.3">
      <c r="A18">
        <v>17</v>
      </c>
      <c r="B18" s="1">
        <v>45708</v>
      </c>
      <c r="C18" t="s">
        <v>17</v>
      </c>
      <c r="D18" t="s">
        <v>11</v>
      </c>
      <c r="E18" t="s">
        <v>12</v>
      </c>
      <c r="F18" t="s">
        <v>13</v>
      </c>
      <c r="G18" t="s">
        <v>14</v>
      </c>
      <c r="H18" s="2">
        <v>799</v>
      </c>
      <c r="I18">
        <v>3</v>
      </c>
      <c r="J18" s="2">
        <v>2397</v>
      </c>
      <c r="K18" t="str">
        <f t="shared" si="0"/>
        <v>2025-02</v>
      </c>
    </row>
    <row r="19" spans="1:11" x14ac:dyDescent="0.3">
      <c r="A19">
        <v>18</v>
      </c>
      <c r="B19" s="1">
        <v>45710</v>
      </c>
      <c r="C19" t="s">
        <v>27</v>
      </c>
      <c r="D19" t="s">
        <v>22</v>
      </c>
      <c r="E19" t="s">
        <v>23</v>
      </c>
      <c r="F19" t="s">
        <v>24</v>
      </c>
      <c r="G19" t="s">
        <v>14</v>
      </c>
      <c r="H19" s="2">
        <v>1499</v>
      </c>
      <c r="I19">
        <v>2</v>
      </c>
      <c r="J19" s="2">
        <v>2998</v>
      </c>
      <c r="K19" t="str">
        <f t="shared" si="0"/>
        <v>2025-02</v>
      </c>
    </row>
    <row r="20" spans="1:11" x14ac:dyDescent="0.3">
      <c r="A20">
        <v>19</v>
      </c>
      <c r="B20" s="1">
        <v>45713</v>
      </c>
      <c r="C20" t="s">
        <v>15</v>
      </c>
      <c r="D20" t="s">
        <v>11</v>
      </c>
      <c r="E20" t="s">
        <v>16</v>
      </c>
      <c r="F20" t="s">
        <v>31</v>
      </c>
      <c r="G20" t="s">
        <v>32</v>
      </c>
      <c r="H20" s="2">
        <v>1299</v>
      </c>
      <c r="I20">
        <v>1</v>
      </c>
      <c r="J20" s="2">
        <v>1299</v>
      </c>
      <c r="K20" t="str">
        <f t="shared" si="0"/>
        <v>2025-02</v>
      </c>
    </row>
    <row r="21" spans="1:11" x14ac:dyDescent="0.3">
      <c r="A21">
        <v>20</v>
      </c>
      <c r="B21" s="1">
        <v>45716</v>
      </c>
      <c r="C21" t="s">
        <v>25</v>
      </c>
      <c r="D21" t="s">
        <v>22</v>
      </c>
      <c r="E21" t="s">
        <v>26</v>
      </c>
      <c r="F21" t="s">
        <v>33</v>
      </c>
      <c r="G21" t="s">
        <v>32</v>
      </c>
      <c r="H21" s="2">
        <v>699</v>
      </c>
      <c r="I21">
        <v>2</v>
      </c>
      <c r="J21" s="2">
        <v>1398</v>
      </c>
      <c r="K21" t="str">
        <f t="shared" si="0"/>
        <v>2025-02</v>
      </c>
    </row>
    <row r="22" spans="1:11" x14ac:dyDescent="0.3">
      <c r="A22">
        <v>21</v>
      </c>
      <c r="B22" s="1">
        <v>45718</v>
      </c>
      <c r="C22" t="s">
        <v>10</v>
      </c>
      <c r="D22" t="s">
        <v>11</v>
      </c>
      <c r="E22" t="s">
        <v>12</v>
      </c>
      <c r="F22" t="s">
        <v>34</v>
      </c>
      <c r="G22" t="s">
        <v>35</v>
      </c>
      <c r="H22" s="2">
        <v>499</v>
      </c>
      <c r="I22">
        <v>3</v>
      </c>
      <c r="J22" s="2">
        <v>1497</v>
      </c>
      <c r="K22" t="str">
        <f t="shared" si="0"/>
        <v>2025-03</v>
      </c>
    </row>
    <row r="23" spans="1:11" x14ac:dyDescent="0.3">
      <c r="A23">
        <v>22</v>
      </c>
      <c r="B23" s="1">
        <v>45721</v>
      </c>
      <c r="C23" t="s">
        <v>21</v>
      </c>
      <c r="D23" t="s">
        <v>22</v>
      </c>
      <c r="E23" t="s">
        <v>23</v>
      </c>
      <c r="F23" t="s">
        <v>36</v>
      </c>
      <c r="G23" t="s">
        <v>35</v>
      </c>
      <c r="H23" s="2">
        <v>399</v>
      </c>
      <c r="I23">
        <v>2</v>
      </c>
      <c r="J23" s="2">
        <v>798</v>
      </c>
      <c r="K23" t="str">
        <f t="shared" si="0"/>
        <v>2025-03</v>
      </c>
    </row>
    <row r="24" spans="1:11" x14ac:dyDescent="0.3">
      <c r="A24">
        <v>23</v>
      </c>
      <c r="B24" s="1">
        <v>45724</v>
      </c>
      <c r="C24" t="s">
        <v>20</v>
      </c>
      <c r="D24" t="s">
        <v>11</v>
      </c>
      <c r="E24" t="s">
        <v>16</v>
      </c>
      <c r="F24" t="s">
        <v>37</v>
      </c>
      <c r="G24" t="s">
        <v>14</v>
      </c>
      <c r="H24" s="2">
        <v>1199</v>
      </c>
      <c r="I24">
        <v>1</v>
      </c>
      <c r="J24" s="2">
        <v>1199</v>
      </c>
      <c r="K24" t="str">
        <f t="shared" si="0"/>
        <v>2025-03</v>
      </c>
    </row>
    <row r="25" spans="1:11" x14ac:dyDescent="0.3">
      <c r="A25">
        <v>24</v>
      </c>
      <c r="B25" s="1">
        <v>45728</v>
      </c>
      <c r="C25" t="s">
        <v>30</v>
      </c>
      <c r="D25" t="s">
        <v>22</v>
      </c>
      <c r="E25" t="s">
        <v>26</v>
      </c>
      <c r="F25" t="s">
        <v>38</v>
      </c>
      <c r="G25" t="s">
        <v>32</v>
      </c>
      <c r="H25" s="2">
        <v>999</v>
      </c>
      <c r="I25">
        <v>2</v>
      </c>
      <c r="J25" s="2">
        <v>1998</v>
      </c>
      <c r="K25" t="str">
        <f t="shared" si="0"/>
        <v>2025-03</v>
      </c>
    </row>
    <row r="26" spans="1:11" x14ac:dyDescent="0.3">
      <c r="A26">
        <v>25</v>
      </c>
      <c r="B26" s="1">
        <v>45731</v>
      </c>
      <c r="C26" t="s">
        <v>18</v>
      </c>
      <c r="D26" t="s">
        <v>11</v>
      </c>
      <c r="E26" t="s">
        <v>19</v>
      </c>
      <c r="F26" t="s">
        <v>13</v>
      </c>
      <c r="G26" t="s">
        <v>14</v>
      </c>
      <c r="H26" s="2">
        <v>799</v>
      </c>
      <c r="I26">
        <v>4</v>
      </c>
      <c r="J26" s="2">
        <v>3196</v>
      </c>
      <c r="K26" t="str">
        <f t="shared" si="0"/>
        <v>2025-03</v>
      </c>
    </row>
    <row r="27" spans="1:11" x14ac:dyDescent="0.3">
      <c r="A27">
        <v>26</v>
      </c>
      <c r="B27" s="1">
        <v>45734</v>
      </c>
      <c r="C27" t="s">
        <v>28</v>
      </c>
      <c r="D27" t="s">
        <v>22</v>
      </c>
      <c r="E27" t="s">
        <v>29</v>
      </c>
      <c r="F27" t="s">
        <v>24</v>
      </c>
      <c r="G27" t="s">
        <v>14</v>
      </c>
      <c r="H27" s="2">
        <v>1499</v>
      </c>
      <c r="I27">
        <v>2</v>
      </c>
      <c r="J27" s="2">
        <v>2998</v>
      </c>
      <c r="K27" t="str">
        <f t="shared" si="0"/>
        <v>2025-03</v>
      </c>
    </row>
    <row r="28" spans="1:11" x14ac:dyDescent="0.3">
      <c r="A28">
        <v>27</v>
      </c>
      <c r="B28" s="1">
        <v>45736</v>
      </c>
      <c r="C28" t="s">
        <v>17</v>
      </c>
      <c r="D28" t="s">
        <v>11</v>
      </c>
      <c r="E28" t="s">
        <v>12</v>
      </c>
      <c r="F28" t="s">
        <v>31</v>
      </c>
      <c r="G28" t="s">
        <v>32</v>
      </c>
      <c r="H28" s="2">
        <v>1299</v>
      </c>
      <c r="I28">
        <v>1</v>
      </c>
      <c r="J28" s="2">
        <v>1299</v>
      </c>
      <c r="K28" t="str">
        <f t="shared" si="0"/>
        <v>2025-03</v>
      </c>
    </row>
    <row r="29" spans="1:11" x14ac:dyDescent="0.3">
      <c r="A29">
        <v>28</v>
      </c>
      <c r="B29" s="1">
        <v>45738</v>
      </c>
      <c r="C29" t="s">
        <v>27</v>
      </c>
      <c r="D29" t="s">
        <v>22</v>
      </c>
      <c r="E29" t="s">
        <v>23</v>
      </c>
      <c r="F29" t="s">
        <v>33</v>
      </c>
      <c r="G29" t="s">
        <v>32</v>
      </c>
      <c r="H29" s="2">
        <v>699</v>
      </c>
      <c r="I29">
        <v>2</v>
      </c>
      <c r="J29" s="2">
        <v>1398</v>
      </c>
      <c r="K29" t="str">
        <f t="shared" si="0"/>
        <v>2025-03</v>
      </c>
    </row>
    <row r="30" spans="1:11" x14ac:dyDescent="0.3">
      <c r="A30">
        <v>29</v>
      </c>
      <c r="B30" s="1">
        <v>45741</v>
      </c>
      <c r="C30" t="s">
        <v>15</v>
      </c>
      <c r="D30" t="s">
        <v>11</v>
      </c>
      <c r="E30" t="s">
        <v>16</v>
      </c>
      <c r="F30" t="s">
        <v>34</v>
      </c>
      <c r="G30" t="s">
        <v>35</v>
      </c>
      <c r="H30" s="2">
        <v>499</v>
      </c>
      <c r="I30">
        <v>3</v>
      </c>
      <c r="J30" s="2">
        <v>1497</v>
      </c>
      <c r="K30" t="str">
        <f t="shared" si="0"/>
        <v>2025-03</v>
      </c>
    </row>
    <row r="31" spans="1:11" x14ac:dyDescent="0.3">
      <c r="A31">
        <v>30</v>
      </c>
      <c r="B31" s="1">
        <v>45744</v>
      </c>
      <c r="C31" t="s">
        <v>25</v>
      </c>
      <c r="D31" t="s">
        <v>22</v>
      </c>
      <c r="E31" t="s">
        <v>26</v>
      </c>
      <c r="F31" t="s">
        <v>36</v>
      </c>
      <c r="G31" t="s">
        <v>35</v>
      </c>
      <c r="H31" s="2">
        <v>399</v>
      </c>
      <c r="I31">
        <v>4</v>
      </c>
      <c r="J31" s="2">
        <v>1596</v>
      </c>
      <c r="K31" t="str">
        <f t="shared" si="0"/>
        <v>2025-03</v>
      </c>
    </row>
    <row r="32" spans="1:11" x14ac:dyDescent="0.3">
      <c r="A32">
        <v>31</v>
      </c>
      <c r="B32" s="1">
        <v>45749</v>
      </c>
      <c r="C32" t="s">
        <v>10</v>
      </c>
      <c r="D32" t="s">
        <v>11</v>
      </c>
      <c r="E32" t="s">
        <v>12</v>
      </c>
      <c r="F32" t="s">
        <v>37</v>
      </c>
      <c r="G32" t="s">
        <v>14</v>
      </c>
      <c r="H32" s="2">
        <v>1199</v>
      </c>
      <c r="I32">
        <v>2</v>
      </c>
      <c r="J32" s="2">
        <v>2398</v>
      </c>
      <c r="K32" t="str">
        <f t="shared" si="0"/>
        <v>2025-04</v>
      </c>
    </row>
    <row r="33" spans="1:11" x14ac:dyDescent="0.3">
      <c r="A33">
        <v>32</v>
      </c>
      <c r="B33" s="1">
        <v>45752</v>
      </c>
      <c r="C33" t="s">
        <v>21</v>
      </c>
      <c r="D33" t="s">
        <v>22</v>
      </c>
      <c r="E33" t="s">
        <v>23</v>
      </c>
      <c r="F33" t="s">
        <v>38</v>
      </c>
      <c r="G33" t="s">
        <v>32</v>
      </c>
      <c r="H33" s="2">
        <v>999</v>
      </c>
      <c r="I33">
        <v>1</v>
      </c>
      <c r="J33" s="2">
        <v>999</v>
      </c>
      <c r="K33" t="str">
        <f t="shared" si="0"/>
        <v>2025-04</v>
      </c>
    </row>
    <row r="34" spans="1:11" x14ac:dyDescent="0.3">
      <c r="A34">
        <v>33</v>
      </c>
      <c r="B34" s="1">
        <v>45754</v>
      </c>
      <c r="C34" t="s">
        <v>20</v>
      </c>
      <c r="D34" t="s">
        <v>11</v>
      </c>
      <c r="E34" t="s">
        <v>16</v>
      </c>
      <c r="F34" t="s">
        <v>13</v>
      </c>
      <c r="G34" t="s">
        <v>14</v>
      </c>
      <c r="H34" s="2">
        <v>799</v>
      </c>
      <c r="I34">
        <v>3</v>
      </c>
      <c r="J34" s="2">
        <v>2397</v>
      </c>
      <c r="K34" t="str">
        <f t="shared" ref="K34:K65" si="1">TEXT(B34,"YYY-MM")</f>
        <v>2025-04</v>
      </c>
    </row>
    <row r="35" spans="1:11" x14ac:dyDescent="0.3">
      <c r="A35">
        <v>34</v>
      </c>
      <c r="B35" s="1">
        <v>45757</v>
      </c>
      <c r="C35" t="s">
        <v>30</v>
      </c>
      <c r="D35" t="s">
        <v>22</v>
      </c>
      <c r="E35" t="s">
        <v>26</v>
      </c>
      <c r="F35" t="s">
        <v>24</v>
      </c>
      <c r="G35" t="s">
        <v>14</v>
      </c>
      <c r="H35" s="2">
        <v>1499</v>
      </c>
      <c r="I35">
        <v>2</v>
      </c>
      <c r="J35" s="2">
        <v>2998</v>
      </c>
      <c r="K35" t="str">
        <f t="shared" si="1"/>
        <v>2025-04</v>
      </c>
    </row>
    <row r="36" spans="1:11" x14ac:dyDescent="0.3">
      <c r="A36">
        <v>35</v>
      </c>
      <c r="B36" s="1">
        <v>45759</v>
      </c>
      <c r="C36" t="s">
        <v>18</v>
      </c>
      <c r="D36" t="s">
        <v>11</v>
      </c>
      <c r="E36" t="s">
        <v>19</v>
      </c>
      <c r="F36" t="s">
        <v>31</v>
      </c>
      <c r="G36" t="s">
        <v>32</v>
      </c>
      <c r="H36" s="2">
        <v>1299</v>
      </c>
      <c r="I36">
        <v>1</v>
      </c>
      <c r="J36" s="2">
        <v>1299</v>
      </c>
      <c r="K36" t="str">
        <f t="shared" si="1"/>
        <v>2025-04</v>
      </c>
    </row>
    <row r="37" spans="1:11" x14ac:dyDescent="0.3">
      <c r="A37">
        <v>36</v>
      </c>
      <c r="B37" s="1">
        <v>45762</v>
      </c>
      <c r="C37" t="s">
        <v>28</v>
      </c>
      <c r="D37" t="s">
        <v>22</v>
      </c>
      <c r="E37" t="s">
        <v>29</v>
      </c>
      <c r="F37" t="s">
        <v>33</v>
      </c>
      <c r="G37" t="s">
        <v>32</v>
      </c>
      <c r="H37" s="2">
        <v>699</v>
      </c>
      <c r="I37">
        <v>2</v>
      </c>
      <c r="J37" s="2">
        <v>1398</v>
      </c>
      <c r="K37" t="str">
        <f t="shared" si="1"/>
        <v>2025-04</v>
      </c>
    </row>
    <row r="38" spans="1:11" x14ac:dyDescent="0.3">
      <c r="A38">
        <v>37</v>
      </c>
      <c r="B38" s="1">
        <v>45765</v>
      </c>
      <c r="C38" t="s">
        <v>17</v>
      </c>
      <c r="D38" t="s">
        <v>11</v>
      </c>
      <c r="E38" t="s">
        <v>12</v>
      </c>
      <c r="F38" t="s">
        <v>34</v>
      </c>
      <c r="G38" t="s">
        <v>35</v>
      </c>
      <c r="H38" s="2">
        <v>499</v>
      </c>
      <c r="I38">
        <v>4</v>
      </c>
      <c r="J38" s="2">
        <v>1996</v>
      </c>
      <c r="K38" t="str">
        <f t="shared" si="1"/>
        <v>2025-04</v>
      </c>
    </row>
    <row r="39" spans="1:11" x14ac:dyDescent="0.3">
      <c r="A39">
        <v>38</v>
      </c>
      <c r="B39" s="1">
        <v>45767</v>
      </c>
      <c r="C39" t="s">
        <v>27</v>
      </c>
      <c r="D39" t="s">
        <v>22</v>
      </c>
      <c r="E39" t="s">
        <v>23</v>
      </c>
      <c r="F39" t="s">
        <v>36</v>
      </c>
      <c r="G39" t="s">
        <v>35</v>
      </c>
      <c r="H39" s="2">
        <v>399</v>
      </c>
      <c r="I39">
        <v>3</v>
      </c>
      <c r="J39" s="2">
        <v>1197</v>
      </c>
      <c r="K39" t="str">
        <f t="shared" si="1"/>
        <v>2025-04</v>
      </c>
    </row>
    <row r="40" spans="1:11" x14ac:dyDescent="0.3">
      <c r="A40">
        <v>39</v>
      </c>
      <c r="B40" s="1">
        <v>45769</v>
      </c>
      <c r="C40" t="s">
        <v>15</v>
      </c>
      <c r="D40" t="s">
        <v>11</v>
      </c>
      <c r="E40" t="s">
        <v>16</v>
      </c>
      <c r="F40" t="s">
        <v>37</v>
      </c>
      <c r="G40" t="s">
        <v>14</v>
      </c>
      <c r="H40" s="2">
        <v>1199</v>
      </c>
      <c r="I40">
        <v>2</v>
      </c>
      <c r="J40" s="2">
        <v>2398</v>
      </c>
      <c r="K40" t="str">
        <f t="shared" si="1"/>
        <v>2025-04</v>
      </c>
    </row>
    <row r="41" spans="1:11" x14ac:dyDescent="0.3">
      <c r="A41">
        <v>40</v>
      </c>
      <c r="B41" s="1">
        <v>45772</v>
      </c>
      <c r="C41" t="s">
        <v>25</v>
      </c>
      <c r="D41" t="s">
        <v>22</v>
      </c>
      <c r="E41" t="s">
        <v>26</v>
      </c>
      <c r="F41" t="s">
        <v>38</v>
      </c>
      <c r="G41" t="s">
        <v>32</v>
      </c>
      <c r="H41" s="2">
        <v>999</v>
      </c>
      <c r="I41">
        <v>1</v>
      </c>
      <c r="J41" s="2">
        <v>999</v>
      </c>
      <c r="K41" t="str">
        <f t="shared" si="1"/>
        <v>2025-04</v>
      </c>
    </row>
    <row r="42" spans="1:11" x14ac:dyDescent="0.3">
      <c r="A42">
        <v>41</v>
      </c>
      <c r="B42" s="1">
        <v>45779</v>
      </c>
      <c r="C42" t="s">
        <v>10</v>
      </c>
      <c r="D42" t="s">
        <v>11</v>
      </c>
      <c r="E42" t="s">
        <v>12</v>
      </c>
      <c r="F42" t="s">
        <v>13</v>
      </c>
      <c r="G42" t="s">
        <v>14</v>
      </c>
      <c r="H42" s="2">
        <v>799</v>
      </c>
      <c r="I42">
        <v>2</v>
      </c>
      <c r="J42" s="2">
        <v>1598</v>
      </c>
      <c r="K42" t="str">
        <f t="shared" si="1"/>
        <v>2025-05</v>
      </c>
    </row>
    <row r="43" spans="1:11" x14ac:dyDescent="0.3">
      <c r="A43">
        <v>42</v>
      </c>
      <c r="B43" s="1">
        <v>45782</v>
      </c>
      <c r="C43" t="s">
        <v>21</v>
      </c>
      <c r="D43" t="s">
        <v>22</v>
      </c>
      <c r="E43" t="s">
        <v>23</v>
      </c>
      <c r="F43" t="s">
        <v>24</v>
      </c>
      <c r="G43" t="s">
        <v>14</v>
      </c>
      <c r="H43" s="2">
        <v>1499</v>
      </c>
      <c r="I43">
        <v>3</v>
      </c>
      <c r="J43" s="2">
        <v>4497</v>
      </c>
      <c r="K43" t="str">
        <f t="shared" si="1"/>
        <v>2025-05</v>
      </c>
    </row>
    <row r="44" spans="1:11" x14ac:dyDescent="0.3">
      <c r="A44">
        <v>43</v>
      </c>
      <c r="B44" s="1">
        <v>45784</v>
      </c>
      <c r="C44" t="s">
        <v>20</v>
      </c>
      <c r="D44" t="s">
        <v>11</v>
      </c>
      <c r="E44" t="s">
        <v>16</v>
      </c>
      <c r="F44" t="s">
        <v>31</v>
      </c>
      <c r="G44" t="s">
        <v>32</v>
      </c>
      <c r="H44" s="2">
        <v>1299</v>
      </c>
      <c r="I44">
        <v>2</v>
      </c>
      <c r="J44" s="2">
        <v>2598</v>
      </c>
      <c r="K44" t="str">
        <f t="shared" si="1"/>
        <v>2025-05</v>
      </c>
    </row>
    <row r="45" spans="1:11" x14ac:dyDescent="0.3">
      <c r="A45">
        <v>44</v>
      </c>
      <c r="B45" s="1">
        <v>45787</v>
      </c>
      <c r="C45" t="s">
        <v>30</v>
      </c>
      <c r="D45" t="s">
        <v>22</v>
      </c>
      <c r="E45" t="s">
        <v>26</v>
      </c>
      <c r="F45" t="s">
        <v>33</v>
      </c>
      <c r="G45" t="s">
        <v>32</v>
      </c>
      <c r="H45" s="2">
        <v>699</v>
      </c>
      <c r="I45">
        <v>1</v>
      </c>
      <c r="J45" s="2">
        <v>699</v>
      </c>
      <c r="K45" t="str">
        <f t="shared" si="1"/>
        <v>2025-05</v>
      </c>
    </row>
    <row r="46" spans="1:11" x14ac:dyDescent="0.3">
      <c r="A46">
        <v>45</v>
      </c>
      <c r="B46" s="1">
        <v>45789</v>
      </c>
      <c r="C46" t="s">
        <v>18</v>
      </c>
      <c r="D46" t="s">
        <v>11</v>
      </c>
      <c r="E46" t="s">
        <v>19</v>
      </c>
      <c r="F46" t="s">
        <v>34</v>
      </c>
      <c r="G46" t="s">
        <v>35</v>
      </c>
      <c r="H46" s="2">
        <v>499</v>
      </c>
      <c r="I46">
        <v>4</v>
      </c>
      <c r="J46" s="2">
        <v>1996</v>
      </c>
      <c r="K46" t="str">
        <f t="shared" si="1"/>
        <v>2025-05</v>
      </c>
    </row>
    <row r="47" spans="1:11" x14ac:dyDescent="0.3">
      <c r="A47">
        <v>46</v>
      </c>
      <c r="B47" s="1">
        <v>45792</v>
      </c>
      <c r="C47" t="s">
        <v>28</v>
      </c>
      <c r="D47" t="s">
        <v>22</v>
      </c>
      <c r="E47" t="s">
        <v>29</v>
      </c>
      <c r="F47" t="s">
        <v>36</v>
      </c>
      <c r="G47" t="s">
        <v>35</v>
      </c>
      <c r="H47" s="2">
        <v>399</v>
      </c>
      <c r="I47">
        <v>3</v>
      </c>
      <c r="J47" s="2">
        <v>1197</v>
      </c>
      <c r="K47" t="str">
        <f t="shared" si="1"/>
        <v>2025-05</v>
      </c>
    </row>
    <row r="48" spans="1:11" x14ac:dyDescent="0.3">
      <c r="A48">
        <v>47</v>
      </c>
      <c r="B48" s="1">
        <v>45795</v>
      </c>
      <c r="C48" t="s">
        <v>17</v>
      </c>
      <c r="D48" t="s">
        <v>11</v>
      </c>
      <c r="E48" t="s">
        <v>12</v>
      </c>
      <c r="F48" t="s">
        <v>37</v>
      </c>
      <c r="G48" t="s">
        <v>14</v>
      </c>
      <c r="H48" s="2">
        <v>1199</v>
      </c>
      <c r="I48">
        <v>2</v>
      </c>
      <c r="J48" s="2">
        <v>2398</v>
      </c>
      <c r="K48" t="str">
        <f t="shared" si="1"/>
        <v>2025-05</v>
      </c>
    </row>
    <row r="49" spans="1:11" x14ac:dyDescent="0.3">
      <c r="A49">
        <v>48</v>
      </c>
      <c r="B49" s="1">
        <v>45797</v>
      </c>
      <c r="C49" t="s">
        <v>27</v>
      </c>
      <c r="D49" t="s">
        <v>22</v>
      </c>
      <c r="E49" t="s">
        <v>23</v>
      </c>
      <c r="F49" t="s">
        <v>38</v>
      </c>
      <c r="G49" t="s">
        <v>32</v>
      </c>
      <c r="H49" s="2">
        <v>999</v>
      </c>
      <c r="I49">
        <v>1</v>
      </c>
      <c r="J49" s="2">
        <v>999</v>
      </c>
      <c r="K49" t="str">
        <f t="shared" si="1"/>
        <v>2025-05</v>
      </c>
    </row>
    <row r="50" spans="1:11" x14ac:dyDescent="0.3">
      <c r="A50">
        <v>49</v>
      </c>
      <c r="B50" s="1">
        <v>45799</v>
      </c>
      <c r="C50" t="s">
        <v>15</v>
      </c>
      <c r="D50" t="s">
        <v>11</v>
      </c>
      <c r="E50" t="s">
        <v>16</v>
      </c>
      <c r="F50" t="s">
        <v>13</v>
      </c>
      <c r="G50" t="s">
        <v>14</v>
      </c>
      <c r="H50" s="2">
        <v>799</v>
      </c>
      <c r="I50">
        <v>3</v>
      </c>
      <c r="J50" s="2">
        <v>2397</v>
      </c>
      <c r="K50" t="str">
        <f t="shared" si="1"/>
        <v>2025-05</v>
      </c>
    </row>
    <row r="51" spans="1:11" x14ac:dyDescent="0.3">
      <c r="A51">
        <v>50</v>
      </c>
      <c r="B51" s="1">
        <v>45802</v>
      </c>
      <c r="C51" t="s">
        <v>25</v>
      </c>
      <c r="D51" t="s">
        <v>22</v>
      </c>
      <c r="E51" t="s">
        <v>26</v>
      </c>
      <c r="F51" t="s">
        <v>24</v>
      </c>
      <c r="G51" t="s">
        <v>14</v>
      </c>
      <c r="H51" s="2">
        <v>1499</v>
      </c>
      <c r="I51">
        <v>2</v>
      </c>
      <c r="J51" s="2">
        <v>2998</v>
      </c>
      <c r="K51" t="str">
        <f t="shared" si="1"/>
        <v>2025-05</v>
      </c>
    </row>
    <row r="52" spans="1:11" x14ac:dyDescent="0.3">
      <c r="A52">
        <v>51</v>
      </c>
      <c r="B52" s="1">
        <v>45810</v>
      </c>
      <c r="C52" t="s">
        <v>10</v>
      </c>
      <c r="D52" t="s">
        <v>11</v>
      </c>
      <c r="E52" t="s">
        <v>12</v>
      </c>
      <c r="F52" t="s">
        <v>31</v>
      </c>
      <c r="G52" t="s">
        <v>32</v>
      </c>
      <c r="H52" s="2">
        <v>1299</v>
      </c>
      <c r="I52">
        <v>2</v>
      </c>
      <c r="J52" s="2">
        <v>2598</v>
      </c>
      <c r="K52" t="str">
        <f t="shared" si="1"/>
        <v>2025-06</v>
      </c>
    </row>
    <row r="53" spans="1:11" x14ac:dyDescent="0.3">
      <c r="A53">
        <v>52</v>
      </c>
      <c r="B53" s="1">
        <v>45813</v>
      </c>
      <c r="C53" t="s">
        <v>21</v>
      </c>
      <c r="D53" t="s">
        <v>22</v>
      </c>
      <c r="E53" t="s">
        <v>23</v>
      </c>
      <c r="F53" t="s">
        <v>33</v>
      </c>
      <c r="G53" t="s">
        <v>32</v>
      </c>
      <c r="H53" s="2">
        <v>699</v>
      </c>
      <c r="I53">
        <v>1</v>
      </c>
      <c r="J53" s="2">
        <v>699</v>
      </c>
      <c r="K53" t="str">
        <f t="shared" si="1"/>
        <v>2025-06</v>
      </c>
    </row>
    <row r="54" spans="1:11" x14ac:dyDescent="0.3">
      <c r="A54">
        <v>53</v>
      </c>
      <c r="B54" s="1">
        <v>45816</v>
      </c>
      <c r="C54" t="s">
        <v>20</v>
      </c>
      <c r="D54" t="s">
        <v>11</v>
      </c>
      <c r="E54" t="s">
        <v>16</v>
      </c>
      <c r="F54" t="s">
        <v>34</v>
      </c>
      <c r="G54" t="s">
        <v>35</v>
      </c>
      <c r="H54" s="2">
        <v>499</v>
      </c>
      <c r="I54">
        <v>3</v>
      </c>
      <c r="J54" s="2">
        <v>1497</v>
      </c>
      <c r="K54" t="str">
        <f t="shared" si="1"/>
        <v>2025-06</v>
      </c>
    </row>
    <row r="55" spans="1:11" x14ac:dyDescent="0.3">
      <c r="A55">
        <v>54</v>
      </c>
      <c r="B55" s="1">
        <v>45818</v>
      </c>
      <c r="C55" t="s">
        <v>30</v>
      </c>
      <c r="D55" t="s">
        <v>22</v>
      </c>
      <c r="E55" t="s">
        <v>26</v>
      </c>
      <c r="F55" t="s">
        <v>36</v>
      </c>
      <c r="G55" t="s">
        <v>35</v>
      </c>
      <c r="H55" s="2">
        <v>399</v>
      </c>
      <c r="I55">
        <v>2</v>
      </c>
      <c r="J55" s="2">
        <v>798</v>
      </c>
      <c r="K55" t="str">
        <f t="shared" si="1"/>
        <v>2025-06</v>
      </c>
    </row>
    <row r="56" spans="1:11" x14ac:dyDescent="0.3">
      <c r="A56">
        <v>55</v>
      </c>
      <c r="B56" s="1">
        <v>45820</v>
      </c>
      <c r="C56" t="s">
        <v>18</v>
      </c>
      <c r="D56" t="s">
        <v>11</v>
      </c>
      <c r="E56" t="s">
        <v>19</v>
      </c>
      <c r="F56" t="s">
        <v>37</v>
      </c>
      <c r="G56" t="s">
        <v>14</v>
      </c>
      <c r="H56" s="2">
        <v>1199</v>
      </c>
      <c r="I56">
        <v>1</v>
      </c>
      <c r="J56" s="2">
        <v>1199</v>
      </c>
      <c r="K56" t="str">
        <f t="shared" si="1"/>
        <v>2025-06</v>
      </c>
    </row>
    <row r="57" spans="1:11" x14ac:dyDescent="0.3">
      <c r="A57">
        <v>56</v>
      </c>
      <c r="B57" s="1">
        <v>45823</v>
      </c>
      <c r="C57" t="s">
        <v>28</v>
      </c>
      <c r="D57" t="s">
        <v>22</v>
      </c>
      <c r="E57" t="s">
        <v>29</v>
      </c>
      <c r="F57" t="s">
        <v>38</v>
      </c>
      <c r="G57" t="s">
        <v>32</v>
      </c>
      <c r="H57" s="2">
        <v>999</v>
      </c>
      <c r="I57">
        <v>2</v>
      </c>
      <c r="J57" s="2">
        <v>1998</v>
      </c>
      <c r="K57" t="str">
        <f t="shared" si="1"/>
        <v>2025-06</v>
      </c>
    </row>
    <row r="58" spans="1:11" x14ac:dyDescent="0.3">
      <c r="A58">
        <v>57</v>
      </c>
      <c r="B58" s="1">
        <v>45826</v>
      </c>
      <c r="C58" t="s">
        <v>17</v>
      </c>
      <c r="D58" t="s">
        <v>11</v>
      </c>
      <c r="E58" t="s">
        <v>12</v>
      </c>
      <c r="F58" t="s">
        <v>13</v>
      </c>
      <c r="G58" t="s">
        <v>14</v>
      </c>
      <c r="H58" s="2">
        <v>799</v>
      </c>
      <c r="I58">
        <v>3</v>
      </c>
      <c r="J58" s="2">
        <v>2397</v>
      </c>
      <c r="K58" t="str">
        <f t="shared" si="1"/>
        <v>2025-06</v>
      </c>
    </row>
    <row r="59" spans="1:11" x14ac:dyDescent="0.3">
      <c r="A59">
        <v>58</v>
      </c>
      <c r="B59" s="1">
        <v>45828</v>
      </c>
      <c r="C59" t="s">
        <v>27</v>
      </c>
      <c r="D59" t="s">
        <v>22</v>
      </c>
      <c r="E59" t="s">
        <v>23</v>
      </c>
      <c r="F59" t="s">
        <v>24</v>
      </c>
      <c r="G59" t="s">
        <v>14</v>
      </c>
      <c r="H59" s="2">
        <v>1499</v>
      </c>
      <c r="I59">
        <v>1</v>
      </c>
      <c r="J59" s="2">
        <v>1499</v>
      </c>
      <c r="K59" t="str">
        <f t="shared" si="1"/>
        <v>2025-06</v>
      </c>
    </row>
    <row r="60" spans="1:11" x14ac:dyDescent="0.3">
      <c r="A60">
        <v>59</v>
      </c>
      <c r="B60" s="1">
        <v>45830</v>
      </c>
      <c r="C60" t="s">
        <v>15</v>
      </c>
      <c r="D60" t="s">
        <v>11</v>
      </c>
      <c r="E60" t="s">
        <v>16</v>
      </c>
      <c r="F60" t="s">
        <v>31</v>
      </c>
      <c r="G60" t="s">
        <v>32</v>
      </c>
      <c r="H60" s="2">
        <v>1299</v>
      </c>
      <c r="I60">
        <v>2</v>
      </c>
      <c r="J60" s="2">
        <v>2598</v>
      </c>
      <c r="K60" t="str">
        <f t="shared" si="1"/>
        <v>2025-06</v>
      </c>
    </row>
    <row r="61" spans="1:11" x14ac:dyDescent="0.3">
      <c r="A61">
        <v>60</v>
      </c>
      <c r="B61" s="1">
        <v>45833</v>
      </c>
      <c r="C61" t="s">
        <v>25</v>
      </c>
      <c r="D61" t="s">
        <v>22</v>
      </c>
      <c r="E61" t="s">
        <v>26</v>
      </c>
      <c r="F61" t="s">
        <v>33</v>
      </c>
      <c r="G61" t="s">
        <v>32</v>
      </c>
      <c r="H61" s="2">
        <v>699</v>
      </c>
      <c r="I61">
        <v>3</v>
      </c>
      <c r="J61" s="2">
        <v>2097</v>
      </c>
      <c r="K61" t="str">
        <f t="shared" si="1"/>
        <v>2025-06</v>
      </c>
    </row>
    <row r="62" spans="1:11" x14ac:dyDescent="0.3">
      <c r="A62">
        <v>61</v>
      </c>
      <c r="B62" s="1">
        <v>45840</v>
      </c>
      <c r="C62" t="s">
        <v>10</v>
      </c>
      <c r="D62" t="s">
        <v>11</v>
      </c>
      <c r="E62" t="s">
        <v>12</v>
      </c>
      <c r="F62" t="s">
        <v>34</v>
      </c>
      <c r="G62" t="s">
        <v>35</v>
      </c>
      <c r="H62" s="2">
        <v>499</v>
      </c>
      <c r="I62">
        <v>4</v>
      </c>
      <c r="J62" s="2">
        <v>1996</v>
      </c>
      <c r="K62" t="str">
        <f t="shared" si="1"/>
        <v>2025-07</v>
      </c>
    </row>
    <row r="63" spans="1:11" x14ac:dyDescent="0.3">
      <c r="A63">
        <v>62</v>
      </c>
      <c r="B63" s="1">
        <v>45843</v>
      </c>
      <c r="C63" t="s">
        <v>21</v>
      </c>
      <c r="D63" t="s">
        <v>22</v>
      </c>
      <c r="E63" t="s">
        <v>23</v>
      </c>
      <c r="F63" t="s">
        <v>36</v>
      </c>
      <c r="G63" t="s">
        <v>35</v>
      </c>
      <c r="H63" s="2">
        <v>399</v>
      </c>
      <c r="I63">
        <v>2</v>
      </c>
      <c r="J63" s="2">
        <v>798</v>
      </c>
      <c r="K63" t="str">
        <f t="shared" si="1"/>
        <v>2025-07</v>
      </c>
    </row>
    <row r="64" spans="1:11" x14ac:dyDescent="0.3">
      <c r="A64">
        <v>63</v>
      </c>
      <c r="B64" s="1">
        <v>45846</v>
      </c>
      <c r="C64" t="s">
        <v>20</v>
      </c>
      <c r="D64" t="s">
        <v>11</v>
      </c>
      <c r="E64" t="s">
        <v>16</v>
      </c>
      <c r="F64" t="s">
        <v>37</v>
      </c>
      <c r="G64" t="s">
        <v>14</v>
      </c>
      <c r="H64" s="2">
        <v>1199</v>
      </c>
      <c r="I64">
        <v>1</v>
      </c>
      <c r="J64" s="2">
        <v>1199</v>
      </c>
      <c r="K64" t="str">
        <f t="shared" si="1"/>
        <v>2025-07</v>
      </c>
    </row>
    <row r="65" spans="1:11" x14ac:dyDescent="0.3">
      <c r="A65">
        <v>64</v>
      </c>
      <c r="B65" s="1">
        <v>45848</v>
      </c>
      <c r="C65" t="s">
        <v>30</v>
      </c>
      <c r="D65" t="s">
        <v>22</v>
      </c>
      <c r="E65" t="s">
        <v>26</v>
      </c>
      <c r="F65" t="s">
        <v>38</v>
      </c>
      <c r="G65" t="s">
        <v>32</v>
      </c>
      <c r="H65" s="2">
        <v>999</v>
      </c>
      <c r="I65">
        <v>2</v>
      </c>
      <c r="J65" s="2">
        <v>1998</v>
      </c>
      <c r="K65" t="str">
        <f t="shared" si="1"/>
        <v>2025-07</v>
      </c>
    </row>
    <row r="66" spans="1:11" x14ac:dyDescent="0.3">
      <c r="A66">
        <v>65</v>
      </c>
      <c r="B66" s="1">
        <v>45850</v>
      </c>
      <c r="C66" t="s">
        <v>18</v>
      </c>
      <c r="D66" t="s">
        <v>11</v>
      </c>
      <c r="E66" t="s">
        <v>19</v>
      </c>
      <c r="F66" t="s">
        <v>13</v>
      </c>
      <c r="G66" t="s">
        <v>14</v>
      </c>
      <c r="H66" s="2">
        <v>799</v>
      </c>
      <c r="I66">
        <v>3</v>
      </c>
      <c r="J66" s="2">
        <v>2397</v>
      </c>
      <c r="K66" t="str">
        <f t="shared" ref="K66:K101" si="2">TEXT(B66,"YYY-MM")</f>
        <v>2025-07</v>
      </c>
    </row>
    <row r="67" spans="1:11" x14ac:dyDescent="0.3">
      <c r="A67">
        <v>66</v>
      </c>
      <c r="B67" s="1">
        <v>45853</v>
      </c>
      <c r="C67" t="s">
        <v>28</v>
      </c>
      <c r="D67" t="s">
        <v>22</v>
      </c>
      <c r="E67" t="s">
        <v>29</v>
      </c>
      <c r="F67" t="s">
        <v>24</v>
      </c>
      <c r="G67" t="s">
        <v>14</v>
      </c>
      <c r="H67" s="2">
        <v>1499</v>
      </c>
      <c r="I67">
        <v>2</v>
      </c>
      <c r="J67" s="2">
        <v>2998</v>
      </c>
      <c r="K67" t="str">
        <f t="shared" si="2"/>
        <v>2025-07</v>
      </c>
    </row>
    <row r="68" spans="1:11" x14ac:dyDescent="0.3">
      <c r="A68">
        <v>67</v>
      </c>
      <c r="B68" s="1">
        <v>45856</v>
      </c>
      <c r="C68" t="s">
        <v>17</v>
      </c>
      <c r="D68" t="s">
        <v>11</v>
      </c>
      <c r="E68" t="s">
        <v>12</v>
      </c>
      <c r="F68" t="s">
        <v>31</v>
      </c>
      <c r="G68" t="s">
        <v>32</v>
      </c>
      <c r="H68" s="2">
        <v>1299</v>
      </c>
      <c r="I68">
        <v>1</v>
      </c>
      <c r="J68" s="2">
        <v>1299</v>
      </c>
      <c r="K68" t="str">
        <f t="shared" si="2"/>
        <v>2025-07</v>
      </c>
    </row>
    <row r="69" spans="1:11" x14ac:dyDescent="0.3">
      <c r="A69">
        <v>68</v>
      </c>
      <c r="B69" s="1">
        <v>45858</v>
      </c>
      <c r="C69" t="s">
        <v>27</v>
      </c>
      <c r="D69" t="s">
        <v>22</v>
      </c>
      <c r="E69" t="s">
        <v>23</v>
      </c>
      <c r="F69" t="s">
        <v>33</v>
      </c>
      <c r="G69" t="s">
        <v>32</v>
      </c>
      <c r="H69" s="2">
        <v>699</v>
      </c>
      <c r="I69">
        <v>2</v>
      </c>
      <c r="J69" s="2">
        <v>1398</v>
      </c>
      <c r="K69" t="str">
        <f t="shared" si="2"/>
        <v>2025-07</v>
      </c>
    </row>
    <row r="70" spans="1:11" x14ac:dyDescent="0.3">
      <c r="A70">
        <v>69</v>
      </c>
      <c r="B70" s="1">
        <v>45860</v>
      </c>
      <c r="C70" t="s">
        <v>15</v>
      </c>
      <c r="D70" t="s">
        <v>11</v>
      </c>
      <c r="E70" t="s">
        <v>16</v>
      </c>
      <c r="F70" t="s">
        <v>34</v>
      </c>
      <c r="G70" t="s">
        <v>35</v>
      </c>
      <c r="H70" s="2">
        <v>499</v>
      </c>
      <c r="I70">
        <v>3</v>
      </c>
      <c r="J70" s="2">
        <v>1497</v>
      </c>
      <c r="K70" t="str">
        <f t="shared" si="2"/>
        <v>2025-07</v>
      </c>
    </row>
    <row r="71" spans="1:11" x14ac:dyDescent="0.3">
      <c r="A71">
        <v>70</v>
      </c>
      <c r="B71" s="1">
        <v>45863</v>
      </c>
      <c r="C71" t="s">
        <v>25</v>
      </c>
      <c r="D71" t="s">
        <v>22</v>
      </c>
      <c r="E71" t="s">
        <v>26</v>
      </c>
      <c r="F71" t="s">
        <v>36</v>
      </c>
      <c r="G71" t="s">
        <v>35</v>
      </c>
      <c r="H71" s="2">
        <v>399</v>
      </c>
      <c r="I71">
        <v>4</v>
      </c>
      <c r="J71" s="2">
        <v>1596</v>
      </c>
      <c r="K71" t="str">
        <f t="shared" si="2"/>
        <v>2025-07</v>
      </c>
    </row>
    <row r="72" spans="1:11" x14ac:dyDescent="0.3">
      <c r="A72">
        <v>71</v>
      </c>
      <c r="B72" s="1">
        <v>45871</v>
      </c>
      <c r="C72" t="s">
        <v>10</v>
      </c>
      <c r="D72" t="s">
        <v>11</v>
      </c>
      <c r="E72" t="s">
        <v>12</v>
      </c>
      <c r="F72" t="s">
        <v>37</v>
      </c>
      <c r="G72" t="s">
        <v>14</v>
      </c>
      <c r="H72" s="2">
        <v>1199</v>
      </c>
      <c r="I72">
        <v>2</v>
      </c>
      <c r="J72" s="2">
        <v>2398</v>
      </c>
      <c r="K72" t="str">
        <f t="shared" si="2"/>
        <v>2025-08</v>
      </c>
    </row>
    <row r="73" spans="1:11" x14ac:dyDescent="0.3">
      <c r="A73">
        <v>72</v>
      </c>
      <c r="B73" s="1">
        <v>45874</v>
      </c>
      <c r="C73" t="s">
        <v>21</v>
      </c>
      <c r="D73" t="s">
        <v>22</v>
      </c>
      <c r="E73" t="s">
        <v>23</v>
      </c>
      <c r="F73" t="s">
        <v>38</v>
      </c>
      <c r="G73" t="s">
        <v>32</v>
      </c>
      <c r="H73" s="2">
        <v>999</v>
      </c>
      <c r="I73">
        <v>1</v>
      </c>
      <c r="J73" s="2">
        <v>999</v>
      </c>
      <c r="K73" t="str">
        <f t="shared" si="2"/>
        <v>2025-08</v>
      </c>
    </row>
    <row r="74" spans="1:11" x14ac:dyDescent="0.3">
      <c r="A74">
        <v>73</v>
      </c>
      <c r="B74" s="1">
        <v>45877</v>
      </c>
      <c r="C74" t="s">
        <v>20</v>
      </c>
      <c r="D74" t="s">
        <v>11</v>
      </c>
      <c r="E74" t="s">
        <v>16</v>
      </c>
      <c r="F74" t="s">
        <v>13</v>
      </c>
      <c r="G74" t="s">
        <v>14</v>
      </c>
      <c r="H74" s="2">
        <v>799</v>
      </c>
      <c r="I74">
        <v>3</v>
      </c>
      <c r="J74" s="2">
        <v>2397</v>
      </c>
      <c r="K74" t="str">
        <f t="shared" si="2"/>
        <v>2025-08</v>
      </c>
    </row>
    <row r="75" spans="1:11" x14ac:dyDescent="0.3">
      <c r="A75">
        <v>74</v>
      </c>
      <c r="B75" s="1">
        <v>45879</v>
      </c>
      <c r="C75" t="s">
        <v>30</v>
      </c>
      <c r="D75" t="s">
        <v>22</v>
      </c>
      <c r="E75" t="s">
        <v>26</v>
      </c>
      <c r="F75" t="s">
        <v>24</v>
      </c>
      <c r="G75" t="s">
        <v>14</v>
      </c>
      <c r="H75" s="2">
        <v>1499</v>
      </c>
      <c r="I75">
        <v>2</v>
      </c>
      <c r="J75" s="2">
        <v>2998</v>
      </c>
      <c r="K75" t="str">
        <f t="shared" si="2"/>
        <v>2025-08</v>
      </c>
    </row>
    <row r="76" spans="1:11" x14ac:dyDescent="0.3">
      <c r="A76">
        <v>75</v>
      </c>
      <c r="B76" s="1">
        <v>45881</v>
      </c>
      <c r="C76" t="s">
        <v>18</v>
      </c>
      <c r="D76" t="s">
        <v>11</v>
      </c>
      <c r="E76" t="s">
        <v>19</v>
      </c>
      <c r="F76" t="s">
        <v>31</v>
      </c>
      <c r="G76" t="s">
        <v>32</v>
      </c>
      <c r="H76" s="2">
        <v>1299</v>
      </c>
      <c r="I76">
        <v>1</v>
      </c>
      <c r="J76" s="2">
        <v>1299</v>
      </c>
      <c r="K76" t="str">
        <f t="shared" si="2"/>
        <v>2025-08</v>
      </c>
    </row>
    <row r="77" spans="1:11" x14ac:dyDescent="0.3">
      <c r="A77">
        <v>76</v>
      </c>
      <c r="B77" s="1">
        <v>45884</v>
      </c>
      <c r="C77" t="s">
        <v>28</v>
      </c>
      <c r="D77" t="s">
        <v>22</v>
      </c>
      <c r="E77" t="s">
        <v>29</v>
      </c>
      <c r="F77" t="s">
        <v>33</v>
      </c>
      <c r="G77" t="s">
        <v>32</v>
      </c>
      <c r="H77" s="2">
        <v>699</v>
      </c>
      <c r="I77">
        <v>2</v>
      </c>
      <c r="J77" s="2">
        <v>1398</v>
      </c>
      <c r="K77" t="str">
        <f t="shared" si="2"/>
        <v>2025-08</v>
      </c>
    </row>
    <row r="78" spans="1:11" x14ac:dyDescent="0.3">
      <c r="A78">
        <v>77</v>
      </c>
      <c r="B78" s="1">
        <v>45887</v>
      </c>
      <c r="C78" t="s">
        <v>17</v>
      </c>
      <c r="D78" t="s">
        <v>11</v>
      </c>
      <c r="E78" t="s">
        <v>12</v>
      </c>
      <c r="F78" t="s">
        <v>34</v>
      </c>
      <c r="G78" t="s">
        <v>35</v>
      </c>
      <c r="H78" s="2">
        <v>499</v>
      </c>
      <c r="I78">
        <v>4</v>
      </c>
      <c r="J78" s="2">
        <v>1996</v>
      </c>
      <c r="K78" t="str">
        <f t="shared" si="2"/>
        <v>2025-08</v>
      </c>
    </row>
    <row r="79" spans="1:11" x14ac:dyDescent="0.3">
      <c r="A79">
        <v>78</v>
      </c>
      <c r="B79" s="1">
        <v>45889</v>
      </c>
      <c r="C79" t="s">
        <v>27</v>
      </c>
      <c r="D79" t="s">
        <v>22</v>
      </c>
      <c r="E79" t="s">
        <v>23</v>
      </c>
      <c r="F79" t="s">
        <v>36</v>
      </c>
      <c r="G79" t="s">
        <v>35</v>
      </c>
      <c r="H79" s="2">
        <v>399</v>
      </c>
      <c r="I79">
        <v>3</v>
      </c>
      <c r="J79" s="2">
        <v>1197</v>
      </c>
      <c r="K79" t="str">
        <f t="shared" si="2"/>
        <v>2025-08</v>
      </c>
    </row>
    <row r="80" spans="1:11" x14ac:dyDescent="0.3">
      <c r="A80">
        <v>79</v>
      </c>
      <c r="B80" s="1">
        <v>45891</v>
      </c>
      <c r="C80" t="s">
        <v>15</v>
      </c>
      <c r="D80" t="s">
        <v>11</v>
      </c>
      <c r="E80" t="s">
        <v>16</v>
      </c>
      <c r="F80" t="s">
        <v>37</v>
      </c>
      <c r="G80" t="s">
        <v>14</v>
      </c>
      <c r="H80" s="2">
        <v>1199</v>
      </c>
      <c r="I80">
        <v>2</v>
      </c>
      <c r="J80" s="2">
        <v>2398</v>
      </c>
      <c r="K80" t="str">
        <f t="shared" si="2"/>
        <v>2025-08</v>
      </c>
    </row>
    <row r="81" spans="1:11" x14ac:dyDescent="0.3">
      <c r="A81">
        <v>80</v>
      </c>
      <c r="B81" s="1">
        <v>45894</v>
      </c>
      <c r="C81" t="s">
        <v>25</v>
      </c>
      <c r="D81" t="s">
        <v>22</v>
      </c>
      <c r="E81" t="s">
        <v>26</v>
      </c>
      <c r="F81" t="s">
        <v>38</v>
      </c>
      <c r="G81" t="s">
        <v>32</v>
      </c>
      <c r="H81" s="2">
        <v>999</v>
      </c>
      <c r="I81">
        <v>1</v>
      </c>
      <c r="J81" s="2">
        <v>999</v>
      </c>
      <c r="K81" t="str">
        <f t="shared" si="2"/>
        <v>2025-08</v>
      </c>
    </row>
    <row r="82" spans="1:11" x14ac:dyDescent="0.3">
      <c r="A82">
        <v>81</v>
      </c>
      <c r="B82" s="1">
        <v>45902</v>
      </c>
      <c r="C82" t="s">
        <v>10</v>
      </c>
      <c r="D82" t="s">
        <v>11</v>
      </c>
      <c r="E82" t="s">
        <v>12</v>
      </c>
      <c r="F82" t="s">
        <v>13</v>
      </c>
      <c r="G82" t="s">
        <v>14</v>
      </c>
      <c r="H82" s="2">
        <v>799</v>
      </c>
      <c r="I82">
        <v>2</v>
      </c>
      <c r="J82" s="2">
        <v>1598</v>
      </c>
      <c r="K82" t="str">
        <f t="shared" si="2"/>
        <v>2025-09</v>
      </c>
    </row>
    <row r="83" spans="1:11" x14ac:dyDescent="0.3">
      <c r="A83">
        <v>82</v>
      </c>
      <c r="B83" s="1">
        <v>45905</v>
      </c>
      <c r="C83" t="s">
        <v>21</v>
      </c>
      <c r="D83" t="s">
        <v>22</v>
      </c>
      <c r="E83" t="s">
        <v>23</v>
      </c>
      <c r="F83" t="s">
        <v>24</v>
      </c>
      <c r="G83" t="s">
        <v>14</v>
      </c>
      <c r="H83" s="2">
        <v>1499</v>
      </c>
      <c r="I83">
        <v>1</v>
      </c>
      <c r="J83" s="2">
        <v>1499</v>
      </c>
      <c r="K83" t="str">
        <f t="shared" si="2"/>
        <v>2025-09</v>
      </c>
    </row>
    <row r="84" spans="1:11" x14ac:dyDescent="0.3">
      <c r="A84">
        <v>83</v>
      </c>
      <c r="B84" s="1">
        <v>45908</v>
      </c>
      <c r="C84" t="s">
        <v>20</v>
      </c>
      <c r="D84" t="s">
        <v>11</v>
      </c>
      <c r="E84" t="s">
        <v>16</v>
      </c>
      <c r="F84" t="s">
        <v>31</v>
      </c>
      <c r="G84" t="s">
        <v>32</v>
      </c>
      <c r="H84" s="2">
        <v>1299</v>
      </c>
      <c r="I84">
        <v>2</v>
      </c>
      <c r="J84" s="2">
        <v>2598</v>
      </c>
      <c r="K84" t="str">
        <f t="shared" si="2"/>
        <v>2025-09</v>
      </c>
    </row>
    <row r="85" spans="1:11" x14ac:dyDescent="0.3">
      <c r="A85">
        <v>84</v>
      </c>
      <c r="B85" s="1">
        <v>45910</v>
      </c>
      <c r="C85" t="s">
        <v>30</v>
      </c>
      <c r="D85" t="s">
        <v>22</v>
      </c>
      <c r="E85" t="s">
        <v>26</v>
      </c>
      <c r="F85" t="s">
        <v>33</v>
      </c>
      <c r="G85" t="s">
        <v>32</v>
      </c>
      <c r="H85" s="2">
        <v>699</v>
      </c>
      <c r="I85">
        <v>3</v>
      </c>
      <c r="J85" s="2">
        <v>2097</v>
      </c>
      <c r="K85" t="str">
        <f t="shared" si="2"/>
        <v>2025-09</v>
      </c>
    </row>
    <row r="86" spans="1:11" x14ac:dyDescent="0.3">
      <c r="A86">
        <v>85</v>
      </c>
      <c r="B86" s="1">
        <v>45912</v>
      </c>
      <c r="C86" t="s">
        <v>18</v>
      </c>
      <c r="D86" t="s">
        <v>11</v>
      </c>
      <c r="E86" t="s">
        <v>19</v>
      </c>
      <c r="F86" t="s">
        <v>34</v>
      </c>
      <c r="G86" t="s">
        <v>35</v>
      </c>
      <c r="H86" s="2">
        <v>499</v>
      </c>
      <c r="I86">
        <v>4</v>
      </c>
      <c r="J86" s="2">
        <v>1996</v>
      </c>
      <c r="K86" t="str">
        <f t="shared" si="2"/>
        <v>2025-09</v>
      </c>
    </row>
    <row r="87" spans="1:11" x14ac:dyDescent="0.3">
      <c r="A87">
        <v>86</v>
      </c>
      <c r="B87" s="1">
        <v>45915</v>
      </c>
      <c r="C87" t="s">
        <v>28</v>
      </c>
      <c r="D87" t="s">
        <v>22</v>
      </c>
      <c r="E87" t="s">
        <v>29</v>
      </c>
      <c r="F87" t="s">
        <v>36</v>
      </c>
      <c r="G87" t="s">
        <v>35</v>
      </c>
      <c r="H87" s="2">
        <v>399</v>
      </c>
      <c r="I87">
        <v>3</v>
      </c>
      <c r="J87" s="2">
        <v>1197</v>
      </c>
      <c r="K87" t="str">
        <f t="shared" si="2"/>
        <v>2025-09</v>
      </c>
    </row>
    <row r="88" spans="1:11" x14ac:dyDescent="0.3">
      <c r="A88">
        <v>87</v>
      </c>
      <c r="B88" s="1">
        <v>45918</v>
      </c>
      <c r="C88" t="s">
        <v>17</v>
      </c>
      <c r="D88" t="s">
        <v>11</v>
      </c>
      <c r="E88" t="s">
        <v>12</v>
      </c>
      <c r="F88" t="s">
        <v>37</v>
      </c>
      <c r="G88" t="s">
        <v>14</v>
      </c>
      <c r="H88" s="2">
        <v>1199</v>
      </c>
      <c r="I88">
        <v>2</v>
      </c>
      <c r="J88" s="2">
        <v>2398</v>
      </c>
      <c r="K88" t="str">
        <f t="shared" si="2"/>
        <v>2025-09</v>
      </c>
    </row>
    <row r="89" spans="1:11" x14ac:dyDescent="0.3">
      <c r="A89">
        <v>88</v>
      </c>
      <c r="B89" s="1">
        <v>45920</v>
      </c>
      <c r="C89" t="s">
        <v>27</v>
      </c>
      <c r="D89" t="s">
        <v>22</v>
      </c>
      <c r="E89" t="s">
        <v>23</v>
      </c>
      <c r="F89" t="s">
        <v>38</v>
      </c>
      <c r="G89" t="s">
        <v>32</v>
      </c>
      <c r="H89" s="2">
        <v>999</v>
      </c>
      <c r="I89">
        <v>1</v>
      </c>
      <c r="J89" s="2">
        <v>999</v>
      </c>
      <c r="K89" t="str">
        <f t="shared" si="2"/>
        <v>2025-09</v>
      </c>
    </row>
    <row r="90" spans="1:11" x14ac:dyDescent="0.3">
      <c r="A90">
        <v>89</v>
      </c>
      <c r="B90" s="1">
        <v>45922</v>
      </c>
      <c r="C90" t="s">
        <v>15</v>
      </c>
      <c r="D90" t="s">
        <v>11</v>
      </c>
      <c r="E90" t="s">
        <v>16</v>
      </c>
      <c r="F90" t="s">
        <v>13</v>
      </c>
      <c r="G90" t="s">
        <v>14</v>
      </c>
      <c r="H90" s="2">
        <v>799</v>
      </c>
      <c r="I90">
        <v>3</v>
      </c>
      <c r="J90" s="2">
        <v>2397</v>
      </c>
      <c r="K90" t="str">
        <f t="shared" si="2"/>
        <v>2025-09</v>
      </c>
    </row>
    <row r="91" spans="1:11" x14ac:dyDescent="0.3">
      <c r="A91">
        <v>90</v>
      </c>
      <c r="B91" s="1">
        <v>45925</v>
      </c>
      <c r="C91" t="s">
        <v>25</v>
      </c>
      <c r="D91" t="s">
        <v>22</v>
      </c>
      <c r="E91" t="s">
        <v>26</v>
      </c>
      <c r="F91" t="s">
        <v>24</v>
      </c>
      <c r="G91" t="s">
        <v>14</v>
      </c>
      <c r="H91" s="2">
        <v>1499</v>
      </c>
      <c r="I91">
        <v>2</v>
      </c>
      <c r="J91" s="2">
        <v>2998</v>
      </c>
      <c r="K91" t="str">
        <f t="shared" si="2"/>
        <v>2025-09</v>
      </c>
    </row>
    <row r="92" spans="1:11" x14ac:dyDescent="0.3">
      <c r="A92">
        <v>91</v>
      </c>
      <c r="B92" s="1">
        <v>45932</v>
      </c>
      <c r="C92" t="s">
        <v>10</v>
      </c>
      <c r="D92" t="s">
        <v>11</v>
      </c>
      <c r="E92" t="s">
        <v>12</v>
      </c>
      <c r="F92" t="s">
        <v>31</v>
      </c>
      <c r="G92" t="s">
        <v>32</v>
      </c>
      <c r="H92" s="2">
        <v>1299</v>
      </c>
      <c r="I92">
        <v>2</v>
      </c>
      <c r="J92" s="2">
        <v>2598</v>
      </c>
      <c r="K92" t="str">
        <f t="shared" si="2"/>
        <v>2025-10</v>
      </c>
    </row>
    <row r="93" spans="1:11" x14ac:dyDescent="0.3">
      <c r="A93">
        <v>92</v>
      </c>
      <c r="B93" s="1">
        <v>45935</v>
      </c>
      <c r="C93" t="s">
        <v>21</v>
      </c>
      <c r="D93" t="s">
        <v>22</v>
      </c>
      <c r="E93" t="s">
        <v>23</v>
      </c>
      <c r="F93" t="s">
        <v>33</v>
      </c>
      <c r="G93" t="s">
        <v>32</v>
      </c>
      <c r="H93" s="2">
        <v>699</v>
      </c>
      <c r="I93">
        <v>3</v>
      </c>
      <c r="J93" s="2">
        <v>2097</v>
      </c>
      <c r="K93" t="str">
        <f t="shared" si="2"/>
        <v>2025-10</v>
      </c>
    </row>
    <row r="94" spans="1:11" x14ac:dyDescent="0.3">
      <c r="A94">
        <v>93</v>
      </c>
      <c r="B94" s="1">
        <v>45938</v>
      </c>
      <c r="C94" t="s">
        <v>20</v>
      </c>
      <c r="D94" t="s">
        <v>11</v>
      </c>
      <c r="E94" t="s">
        <v>16</v>
      </c>
      <c r="F94" t="s">
        <v>34</v>
      </c>
      <c r="G94" t="s">
        <v>35</v>
      </c>
      <c r="H94" s="2">
        <v>499</v>
      </c>
      <c r="I94">
        <v>2</v>
      </c>
      <c r="J94" s="2">
        <v>998</v>
      </c>
      <c r="K94" t="str">
        <f t="shared" si="2"/>
        <v>2025-10</v>
      </c>
    </row>
    <row r="95" spans="1:11" x14ac:dyDescent="0.3">
      <c r="A95">
        <v>94</v>
      </c>
      <c r="B95" s="1">
        <v>45940</v>
      </c>
      <c r="C95" t="s">
        <v>30</v>
      </c>
      <c r="D95" t="s">
        <v>22</v>
      </c>
      <c r="E95" t="s">
        <v>26</v>
      </c>
      <c r="F95" t="s">
        <v>36</v>
      </c>
      <c r="G95" t="s">
        <v>35</v>
      </c>
      <c r="H95" s="2">
        <v>399</v>
      </c>
      <c r="I95">
        <v>4</v>
      </c>
      <c r="J95" s="2">
        <v>1596</v>
      </c>
      <c r="K95" t="str">
        <f t="shared" si="2"/>
        <v>2025-10</v>
      </c>
    </row>
    <row r="96" spans="1:11" x14ac:dyDescent="0.3">
      <c r="A96">
        <v>95</v>
      </c>
      <c r="B96" s="1">
        <v>45942</v>
      </c>
      <c r="C96" t="s">
        <v>18</v>
      </c>
      <c r="D96" t="s">
        <v>11</v>
      </c>
      <c r="E96" t="s">
        <v>19</v>
      </c>
      <c r="F96" t="s">
        <v>37</v>
      </c>
      <c r="G96" t="s">
        <v>14</v>
      </c>
      <c r="H96" s="2">
        <v>1199</v>
      </c>
      <c r="I96">
        <v>2</v>
      </c>
      <c r="J96" s="2">
        <v>2398</v>
      </c>
      <c r="K96" t="str">
        <f t="shared" si="2"/>
        <v>2025-10</v>
      </c>
    </row>
    <row r="97" spans="1:11" x14ac:dyDescent="0.3">
      <c r="A97">
        <v>96</v>
      </c>
      <c r="B97" s="1">
        <v>45945</v>
      </c>
      <c r="C97" t="s">
        <v>28</v>
      </c>
      <c r="D97" t="s">
        <v>22</v>
      </c>
      <c r="E97" t="s">
        <v>29</v>
      </c>
      <c r="F97" t="s">
        <v>38</v>
      </c>
      <c r="G97" t="s">
        <v>32</v>
      </c>
      <c r="H97" s="2">
        <v>999</v>
      </c>
      <c r="I97">
        <v>1</v>
      </c>
      <c r="J97" s="2">
        <v>999</v>
      </c>
      <c r="K97" t="str">
        <f t="shared" si="2"/>
        <v>2025-10</v>
      </c>
    </row>
    <row r="98" spans="1:11" x14ac:dyDescent="0.3">
      <c r="A98">
        <v>97</v>
      </c>
      <c r="B98" s="1">
        <v>45948</v>
      </c>
      <c r="C98" t="s">
        <v>17</v>
      </c>
      <c r="D98" t="s">
        <v>11</v>
      </c>
      <c r="E98" t="s">
        <v>12</v>
      </c>
      <c r="F98" t="s">
        <v>13</v>
      </c>
      <c r="G98" t="s">
        <v>14</v>
      </c>
      <c r="H98" s="2">
        <v>799</v>
      </c>
      <c r="I98">
        <v>3</v>
      </c>
      <c r="J98" s="2">
        <v>2397</v>
      </c>
      <c r="K98" t="str">
        <f t="shared" si="2"/>
        <v>2025-10</v>
      </c>
    </row>
    <row r="99" spans="1:11" x14ac:dyDescent="0.3">
      <c r="A99">
        <v>98</v>
      </c>
      <c r="B99" s="1">
        <v>45950</v>
      </c>
      <c r="C99" t="s">
        <v>27</v>
      </c>
      <c r="D99" t="s">
        <v>22</v>
      </c>
      <c r="E99" t="s">
        <v>23</v>
      </c>
      <c r="F99" t="s">
        <v>24</v>
      </c>
      <c r="G99" t="s">
        <v>14</v>
      </c>
      <c r="H99" s="2">
        <v>1499</v>
      </c>
      <c r="I99">
        <v>2</v>
      </c>
      <c r="J99" s="2">
        <v>2998</v>
      </c>
      <c r="K99" t="str">
        <f t="shared" si="2"/>
        <v>2025-10</v>
      </c>
    </row>
    <row r="100" spans="1:11" x14ac:dyDescent="0.3">
      <c r="A100">
        <v>99</v>
      </c>
      <c r="B100" s="1">
        <v>45952</v>
      </c>
      <c r="C100" t="s">
        <v>15</v>
      </c>
      <c r="D100" t="s">
        <v>11</v>
      </c>
      <c r="E100" t="s">
        <v>16</v>
      </c>
      <c r="F100" t="s">
        <v>31</v>
      </c>
      <c r="G100" t="s">
        <v>32</v>
      </c>
      <c r="H100" s="2">
        <v>1299</v>
      </c>
      <c r="I100">
        <v>1</v>
      </c>
      <c r="J100" s="2">
        <v>1299</v>
      </c>
      <c r="K100" t="str">
        <f t="shared" si="2"/>
        <v>2025-10</v>
      </c>
    </row>
    <row r="101" spans="1:11" x14ac:dyDescent="0.3">
      <c r="A101">
        <v>100</v>
      </c>
      <c r="B101" s="1">
        <v>45955</v>
      </c>
      <c r="C101" t="s">
        <v>25</v>
      </c>
      <c r="D101" t="s">
        <v>22</v>
      </c>
      <c r="E101" t="s">
        <v>26</v>
      </c>
      <c r="F101" t="s">
        <v>33</v>
      </c>
      <c r="G101" t="s">
        <v>32</v>
      </c>
      <c r="H101" s="2">
        <v>699</v>
      </c>
      <c r="I101">
        <v>2</v>
      </c>
      <c r="J101" s="2">
        <v>1398</v>
      </c>
      <c r="K101" t="str">
        <f t="shared" si="2"/>
        <v>2025-10</v>
      </c>
    </row>
  </sheetData>
  <sortState xmlns:xlrd2="http://schemas.microsoft.com/office/spreadsheetml/2017/richdata2" ref="A2:J101">
    <sortCondition ref="A2:A101"/>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8FE0-83A6-442A-AEEA-04E956D4336C}">
  <dimension ref="A3:E26"/>
  <sheetViews>
    <sheetView workbookViewId="0">
      <selection activeCell="D19" sqref="D16:D25"/>
    </sheetView>
  </sheetViews>
  <sheetFormatPr defaultRowHeight="14.4" x14ac:dyDescent="0.3"/>
  <cols>
    <col min="1" max="1" width="12.5546875" bestFit="1" customWidth="1"/>
    <col min="2" max="2" width="19.21875" bestFit="1" customWidth="1"/>
    <col min="4" max="4" width="12.5546875" bestFit="1" customWidth="1"/>
    <col min="5" max="5" width="19.21875" bestFit="1" customWidth="1"/>
  </cols>
  <sheetData>
    <row r="3" spans="1:5" x14ac:dyDescent="0.3">
      <c r="A3" s="3" t="s">
        <v>39</v>
      </c>
      <c r="B3" t="s">
        <v>41</v>
      </c>
      <c r="D3" s="3" t="s">
        <v>39</v>
      </c>
      <c r="E3" t="s">
        <v>41</v>
      </c>
    </row>
    <row r="4" spans="1:5" x14ac:dyDescent="0.3">
      <c r="A4" s="4" t="s">
        <v>35</v>
      </c>
      <c r="B4" s="2">
        <v>34723</v>
      </c>
      <c r="D4" s="4" t="s">
        <v>36</v>
      </c>
      <c r="E4" s="2">
        <v>14763</v>
      </c>
    </row>
    <row r="5" spans="1:5" x14ac:dyDescent="0.3">
      <c r="A5" s="4" t="s">
        <v>14</v>
      </c>
      <c r="B5" s="2">
        <v>88420</v>
      </c>
      <c r="D5" s="4" t="s">
        <v>34</v>
      </c>
      <c r="E5" s="2">
        <v>19960</v>
      </c>
    </row>
    <row r="6" spans="1:5" x14ac:dyDescent="0.3">
      <c r="A6" s="4" t="s">
        <v>32</v>
      </c>
      <c r="B6" s="2">
        <v>61236</v>
      </c>
      <c r="D6" s="4" t="s">
        <v>24</v>
      </c>
      <c r="E6" s="2">
        <v>34477</v>
      </c>
    </row>
    <row r="7" spans="1:5" x14ac:dyDescent="0.3">
      <c r="A7" s="4" t="s">
        <v>40</v>
      </c>
      <c r="B7" s="2">
        <v>184379</v>
      </c>
      <c r="D7" s="4" t="s">
        <v>37</v>
      </c>
      <c r="E7" s="2">
        <v>25179</v>
      </c>
    </row>
    <row r="8" spans="1:5" x14ac:dyDescent="0.3">
      <c r="D8" s="4" t="s">
        <v>13</v>
      </c>
      <c r="E8" s="2">
        <v>28764</v>
      </c>
    </row>
    <row r="9" spans="1:5" x14ac:dyDescent="0.3">
      <c r="D9" s="4" t="s">
        <v>31</v>
      </c>
      <c r="E9" s="2">
        <v>25980</v>
      </c>
    </row>
    <row r="10" spans="1:5" x14ac:dyDescent="0.3">
      <c r="A10" s="3" t="s">
        <v>39</v>
      </c>
      <c r="B10" t="s">
        <v>41</v>
      </c>
      <c r="D10" s="4" t="s">
        <v>38</v>
      </c>
      <c r="E10" s="2">
        <v>14985</v>
      </c>
    </row>
    <row r="11" spans="1:5" x14ac:dyDescent="0.3">
      <c r="A11" s="4" t="s">
        <v>16</v>
      </c>
      <c r="B11" s="2">
        <v>37857</v>
      </c>
      <c r="D11" s="4" t="s">
        <v>33</v>
      </c>
      <c r="E11" s="2">
        <v>20271</v>
      </c>
    </row>
    <row r="12" spans="1:5" x14ac:dyDescent="0.3">
      <c r="A12" s="4" t="s">
        <v>19</v>
      </c>
      <c r="B12" s="2">
        <v>20174</v>
      </c>
      <c r="D12" s="4" t="s">
        <v>40</v>
      </c>
      <c r="E12" s="2">
        <v>184379</v>
      </c>
    </row>
    <row r="13" spans="1:5" x14ac:dyDescent="0.3">
      <c r="A13" s="4" t="s">
        <v>23</v>
      </c>
      <c r="B13" s="2">
        <v>31664</v>
      </c>
    </row>
    <row r="14" spans="1:5" x14ac:dyDescent="0.3">
      <c r="A14" s="4" t="s">
        <v>26</v>
      </c>
      <c r="B14" s="2">
        <v>36453</v>
      </c>
    </row>
    <row r="15" spans="1:5" x14ac:dyDescent="0.3">
      <c r="A15" s="4" t="s">
        <v>12</v>
      </c>
      <c r="B15" s="2">
        <v>41852</v>
      </c>
      <c r="D15" s="3" t="s">
        <v>39</v>
      </c>
      <c r="E15" t="s">
        <v>41</v>
      </c>
    </row>
    <row r="16" spans="1:5" x14ac:dyDescent="0.3">
      <c r="A16" s="4" t="s">
        <v>29</v>
      </c>
      <c r="B16" s="2">
        <v>16379</v>
      </c>
      <c r="D16" s="4" t="s">
        <v>43</v>
      </c>
      <c r="E16" s="2">
        <v>17479</v>
      </c>
    </row>
    <row r="17" spans="1:5" x14ac:dyDescent="0.3">
      <c r="A17" s="4" t="s">
        <v>40</v>
      </c>
      <c r="B17" s="2">
        <v>184379</v>
      </c>
      <c r="D17" s="4" t="s">
        <v>44</v>
      </c>
      <c r="E17" s="2">
        <v>18778</v>
      </c>
    </row>
    <row r="18" spans="1:5" x14ac:dyDescent="0.3">
      <c r="D18" s="4" t="s">
        <v>45</v>
      </c>
      <c r="E18" s="2">
        <v>17476</v>
      </c>
    </row>
    <row r="19" spans="1:5" x14ac:dyDescent="0.3">
      <c r="D19" s="4" t="s">
        <v>46</v>
      </c>
      <c r="E19" s="2">
        <v>18079</v>
      </c>
    </row>
    <row r="20" spans="1:5" x14ac:dyDescent="0.3">
      <c r="D20" s="4" t="s">
        <v>47</v>
      </c>
      <c r="E20" s="2">
        <v>21377</v>
      </c>
    </row>
    <row r="21" spans="1:5" x14ac:dyDescent="0.3">
      <c r="D21" s="4" t="s">
        <v>48</v>
      </c>
      <c r="E21" s="2">
        <v>17380</v>
      </c>
    </row>
    <row r="22" spans="1:5" x14ac:dyDescent="0.3">
      <c r="D22" s="4" t="s">
        <v>49</v>
      </c>
      <c r="E22" s="2">
        <v>17176</v>
      </c>
    </row>
    <row r="23" spans="1:5" x14ac:dyDescent="0.3">
      <c r="D23" s="4" t="s">
        <v>50</v>
      </c>
      <c r="E23" s="2">
        <v>18079</v>
      </c>
    </row>
    <row r="24" spans="1:5" x14ac:dyDescent="0.3">
      <c r="D24" s="4" t="s">
        <v>51</v>
      </c>
      <c r="E24" s="2">
        <v>19777</v>
      </c>
    </row>
    <row r="25" spans="1:5" x14ac:dyDescent="0.3">
      <c r="D25" s="4" t="s">
        <v>52</v>
      </c>
      <c r="E25" s="2">
        <v>18778</v>
      </c>
    </row>
    <row r="26" spans="1:5" x14ac:dyDescent="0.3">
      <c r="D26" s="4" t="s">
        <v>40</v>
      </c>
      <c r="E26" s="2">
        <v>184379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Zudio_Sales Analysis</vt:lpstr>
      <vt:lpstr>Pivot_Tables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shivaprasad reddy</cp:lastModifiedBy>
  <dcterms:created xsi:type="dcterms:W3CDTF">2026-03-24T22:15:25Z</dcterms:created>
  <dcterms:modified xsi:type="dcterms:W3CDTF">2026-03-24T22:15:25Z</dcterms:modified>
</cp:coreProperties>
</file>